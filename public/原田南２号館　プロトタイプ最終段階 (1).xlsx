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7570" windowHeight="7120"/>
  </bookViews>
  <sheets>
    <sheet name="マスタ" sheetId="1" r:id="rId1"/>
    <sheet name="要員数" sheetId="2" r:id="rId2"/>
    <sheet name="勤務予定_雛形シート" sheetId="3" r:id="rId3"/>
    <sheet name="希望" sheetId="4" r:id="rId4"/>
    <sheet name="月設定" sheetId="5" r:id="rId5"/>
    <sheet name="繰越" sheetId="6" r:id="rId6"/>
    <sheet name="検証チェック" sheetId="7" r:id="rId7"/>
    <sheet name="2025-12" sheetId="8" r:id="rId8"/>
  </sheets>
  <calcPr calcId="144525"/>
</workbook>
</file>

<file path=xl/sharedStrings.xml><?xml version="1.0" encoding="utf-8"?>
<sst xmlns="http://schemas.openxmlformats.org/spreadsheetml/2006/main" count="1740" uniqueCount="181">
  <si>
    <t>スタッフID</t>
  </si>
  <si>
    <t>氏名</t>
  </si>
  <si>
    <t>区分</t>
  </si>
  <si>
    <t>所属</t>
  </si>
  <si>
    <t>早可</t>
  </si>
  <si>
    <t>日可</t>
  </si>
  <si>
    <t>遅可</t>
  </si>
  <si>
    <t>夜可</t>
  </si>
  <si>
    <t>日勤リーダー</t>
  </si>
  <si>
    <t>専属</t>
  </si>
  <si>
    <t>曜日固定</t>
  </si>
  <si>
    <t>夜勤回数/週</t>
  </si>
  <si>
    <t>勤務日数/週</t>
  </si>
  <si>
    <t>東　健二</t>
  </si>
  <si>
    <t>常勤</t>
  </si>
  <si>
    <t>長谷川　美穂</t>
  </si>
  <si>
    <t>谷口　由理</t>
  </si>
  <si>
    <t>小島慎也</t>
  </si>
  <si>
    <t>兼務</t>
  </si>
  <si>
    <t>芝原　等</t>
  </si>
  <si>
    <t>西村　拓真</t>
  </si>
  <si>
    <t>稲垣　杏花</t>
  </si>
  <si>
    <t>井口　貴行</t>
  </si>
  <si>
    <t>大塚　正貴</t>
  </si>
  <si>
    <t>大坪　春奈</t>
  </si>
  <si>
    <t>小山　慎太郎</t>
  </si>
  <si>
    <t>成相　明日香</t>
  </si>
  <si>
    <t>グエン　ゴックリン</t>
  </si>
  <si>
    <t>尾添　有美</t>
  </si>
  <si>
    <t>伊藤　賢一</t>
  </si>
  <si>
    <t>グエンティエン</t>
  </si>
  <si>
    <t>中島　剛</t>
  </si>
  <si>
    <t>中西　耕平</t>
  </si>
  <si>
    <t>八木　亮衛</t>
  </si>
  <si>
    <t>芝　秀樹</t>
  </si>
  <si>
    <t>江崎　麻梨香</t>
  </si>
  <si>
    <t>藤井　裕人</t>
  </si>
  <si>
    <t>チュオンティチャウ</t>
  </si>
  <si>
    <t>グエンキムトア</t>
  </si>
  <si>
    <t>グエンマイティホアティエン</t>
  </si>
  <si>
    <t>竹田　泰規</t>
  </si>
  <si>
    <t>ユインユインウイン</t>
  </si>
  <si>
    <t>大島　豊明</t>
  </si>
  <si>
    <t>大石　夏子</t>
  </si>
  <si>
    <t>ズティホアイリン</t>
  </si>
  <si>
    <t>張　思字</t>
  </si>
  <si>
    <t>正垣　久美</t>
  </si>
  <si>
    <t>グエンティフォン</t>
  </si>
  <si>
    <t>チャンティゴック</t>
  </si>
  <si>
    <t>グエンヴァントゥン</t>
  </si>
  <si>
    <t>荒木　健太</t>
  </si>
  <si>
    <t>レティークインアイン</t>
  </si>
  <si>
    <t>ティフェンミー</t>
  </si>
  <si>
    <t>ホティカーンハオ</t>
  </si>
  <si>
    <t>ラガスアイヴィーヤングソン</t>
  </si>
  <si>
    <t>玉置　純季</t>
  </si>
  <si>
    <t>山田　真二</t>
  </si>
  <si>
    <t>松下　大輝</t>
  </si>
  <si>
    <t>田尻　葵</t>
  </si>
  <si>
    <t>本多　将太</t>
  </si>
  <si>
    <t>窪田　友博</t>
  </si>
  <si>
    <t>〇</t>
  </si>
  <si>
    <t>5/週</t>
  </si>
  <si>
    <t>津田　安悠美</t>
  </si>
  <si>
    <t>河合　薫</t>
  </si>
  <si>
    <t>正田　直大</t>
  </si>
  <si>
    <t>高井　魁</t>
  </si>
  <si>
    <t>廣林　玲子</t>
  </si>
  <si>
    <t>2/週</t>
  </si>
  <si>
    <t>三好　由加利</t>
  </si>
  <si>
    <t>鹿野　香代子</t>
  </si>
  <si>
    <t>麻野　ひろみ</t>
  </si>
  <si>
    <t>日付</t>
  </si>
  <si>
    <t>早必要</t>
  </si>
  <si>
    <t>日必要</t>
  </si>
  <si>
    <t>遅必要</t>
  </si>
  <si>
    <t>夜必要</t>
  </si>
  <si>
    <t>早合計</t>
  </si>
  <si>
    <t>日合計</t>
  </si>
  <si>
    <t>遅合計</t>
  </si>
  <si>
    <t>夜合計</t>
  </si>
  <si>
    <t>明合計</t>
  </si>
  <si>
    <t>休合計</t>
  </si>
  <si>
    <t>当日帯合計</t>
  </si>
  <si>
    <t>リーダー回数</t>
  </si>
  <si>
    <t>井口 貴行</t>
  </si>
  <si>
    <t>大坪 春菜</t>
  </si>
  <si>
    <t>小山 慎太郎</t>
  </si>
  <si>
    <t>成相 明日香</t>
  </si>
  <si>
    <t>ｸﾞｴﾝ ｺﾞｯｸ ﾘﾝ</t>
  </si>
  <si>
    <t>尾添　友美</t>
  </si>
  <si>
    <t>伊藤　健一</t>
  </si>
  <si>
    <t>希望休</t>
  </si>
  <si>
    <t>グエン　ティエン</t>
  </si>
  <si>
    <t>研修</t>
  </si>
  <si>
    <t>有</t>
  </si>
  <si>
    <t>マイティホアティエン</t>
  </si>
  <si>
    <t>ユインウイン</t>
  </si>
  <si>
    <t>ズティリン</t>
  </si>
  <si>
    <t>フォン</t>
  </si>
  <si>
    <t>高橋　崇</t>
  </si>
  <si>
    <t>新田　深幸</t>
  </si>
  <si>
    <t>ラウンドA</t>
  </si>
  <si>
    <t>ラウンドB</t>
  </si>
  <si>
    <t>ラウンドC</t>
  </si>
  <si>
    <t>ラウンドD</t>
  </si>
  <si>
    <t>ラウンドE</t>
  </si>
  <si>
    <t>休み希望</t>
  </si>
  <si>
    <t>出勤不可</t>
  </si>
  <si>
    <t>早番希望</t>
  </si>
  <si>
    <t>日勤希望</t>
  </si>
  <si>
    <t>遅出希望</t>
  </si>
  <si>
    <t>夜勤希望</t>
  </si>
  <si>
    <t>有休希望</t>
  </si>
  <si>
    <t>大野 理佐子</t>
  </si>
  <si>
    <t>西 泰聖</t>
  </si>
  <si>
    <t>中家 翼</t>
  </si>
  <si>
    <t>中村 祐菜</t>
  </si>
  <si>
    <t>河野 昭子</t>
  </si>
  <si>
    <t>麻野 ひろみ</t>
  </si>
  <si>
    <t>新田 深幸</t>
  </si>
  <si>
    <t>三好 由加利</t>
  </si>
  <si>
    <t>年月</t>
  </si>
  <si>
    <t>常勤公休数</t>
  </si>
  <si>
    <t>休</t>
  </si>
  <si>
    <t>明</t>
  </si>
  <si>
    <t>No</t>
  </si>
  <si>
    <t>チェック項目</t>
  </si>
  <si>
    <t>確認</t>
  </si>
  <si>
    <t>判定ロジック（TRUEなら☑、FALSEなら☐）</t>
  </si>
  <si>
    <t>各日・各シフト帯の配置人数 ＝ 要員数（不足は赤、超過はエラー）になっているか？</t>
  </si>
  <si>
    <t>日別カウンターの各値＝要員数シートの値 全て一致</t>
  </si>
  <si>
    <t>夜勤 → 明け → 休み が必ず連続して反映されているか？</t>
  </si>
  <si>
    <t>夜勤セルの翌日が「明」、翌々日が「休」になっている</t>
  </si>
  <si>
    <t>29・30・31日の夜勤は翌月に反映せず、繰越シートに記録されているか？</t>
  </si>
  <si>
    <t>29/30/31日に夜勤がある場合、翌月の雛形には反映されず繰越に記録あり</t>
  </si>
  <si>
    <t>夜勤回数は「月曜〜日曜」単位で上限（例：2/週）を守れているか？</t>
  </si>
  <si>
    <t>各職員の週単位カウンター ≤ マスタの上限値</t>
  </si>
  <si>
    <t>遅出の翌日に早出が入っていないか？</t>
  </si>
  <si>
    <t>遅出セルの翌日が早出でないことを確認</t>
  </si>
  <si>
    <t>専属・曜日固定以外の職員で、休み数＝月設定の公休数になっているか？</t>
  </si>
  <si>
    <t>各職員の休数カウンター＝月設定シートの公休数</t>
  </si>
  <si>
    <t>専属・曜日固定の職員は「専属勤務日以外は休み」となっているか？</t>
  </si>
  <si>
    <t>右側の専属/曜日固定条件と突合、違反がなければTRUE</t>
  </si>
  <si>
    <t>夜勤専属は夜勤のみ（日勤・早出・遅出なし）になっているか？</t>
  </si>
  <si>
    <t>夜勤専属者のセルに「夜勤」以外が入っていない</t>
  </si>
  <si>
    <t>日勤専属は日勤のみになっているか？</t>
  </si>
  <si>
    <t>日勤専属者のセルに「日勤」以外が入っていない</t>
  </si>
  <si>
    <t>曜日固定の勤務が必ず守られているか？</t>
  </si>
  <si>
    <t>曜日固定列で指定された曜日に必ず勤務が入っている</t>
  </si>
  <si>
    <t>当月最終日が夜勤 → 翌月1日「明」、翌月2日「休」が繰越に記録されているか？</t>
  </si>
  <si>
    <t>前月繰越シートに記録あり、翌月雛形に反映済み</t>
  </si>
  <si>
    <t>当月最終日が明け → 翌月1日「休」が繰越に記録されているか？</t>
  </si>
  <si>
    <t>夜勤回数、土日勤務回数、連勤数が極端に偏っていないか？（均等化）</t>
  </si>
  <si>
    <t>職員カウンターの最大値−最小値 ≤ 許容範囲（例：夜勤差 ≤1、連勤 ≤5日）</t>
  </si>
  <si>
    <t>検証チェック自動判定ロジック対応表</t>
  </si>
  <si>
    <t>各日・各シフト帯の配置人数＝要員数</t>
  </si>
  <si>
    <t>夜勤→明け→休み が連続しているか</t>
  </si>
  <si>
    <t>29・30・31日の夜勤は翌月反映なし</t>
  </si>
  <si>
    <t>夜勤回数＝週上限内（例2/週）</t>
  </si>
  <si>
    <t>遅出の翌日に早出が入っていないか</t>
  </si>
  <si>
    <t>専属以外の職員で休み数＝月設定公休数</t>
  </si>
  <si>
    <t>専属/曜日固定の職員は専属勤務日以外休み</t>
  </si>
  <si>
    <t>夜勤専属は夜勤のみ</t>
  </si>
  <si>
    <t>日勤専属は日勤のみ</t>
  </si>
  <si>
    <t>曜日固定の勤務が守られているか</t>
  </si>
  <si>
    <t>月末夜勤 → 翌月1日「明」、翌月2日「休」繰越</t>
  </si>
  <si>
    <t>月末明け → 翌月1日「休」繰越</t>
  </si>
  <si>
    <t>夜勤回数/土日勤務/連勤数が極端に偏っていないか</t>
  </si>
  <si>
    <t>予</t>
  </si>
  <si>
    <t>日</t>
  </si>
  <si>
    <t>遅</t>
  </si>
  <si>
    <t>夜</t>
  </si>
  <si>
    <t>早</t>
  </si>
  <si>
    <t>誕</t>
  </si>
  <si>
    <t>鍵本　美憂</t>
  </si>
  <si>
    <t>土屋　光</t>
  </si>
  <si>
    <t>平城　翔</t>
  </si>
  <si>
    <t>川原　千夏</t>
  </si>
  <si>
    <t>菅野　弘之</t>
  </si>
  <si>
    <t>河野　昭子</t>
  </si>
</sst>
</file>

<file path=xl/styles.xml><?xml version="1.0" encoding="utf-8"?>
<styleSheet xmlns="http://schemas.openxmlformats.org/spreadsheetml/2006/main">
  <numFmts count="8">
    <numFmt numFmtId="176" formatCode="_ * #,##0_ ;_ * \-#,##0_ ;_ * &quot;-&quot;??_ ;_ @_ "/>
    <numFmt numFmtId="43" formatCode="_ * #,##0.00_ ;_ * \-#,##0.00_ ;_ * &quot;-&quot;??_ ;_ @_ "/>
    <numFmt numFmtId="177" formatCode="yyyy/mm/dd\(aaa\)"/>
    <numFmt numFmtId="178" formatCode="_-&quot;\&quot;* #,##0.00_-\ ;\-&quot;\&quot;* #,##0.00_-\ ;_-&quot;\&quot;* &quot;-&quot;??_-\ ;_-@_-"/>
    <numFmt numFmtId="179" formatCode="m/d\(aaa&quot;）&quot;"/>
    <numFmt numFmtId="180" formatCode="_-&quot;\&quot;* #,##0_-\ ;\-&quot;\&quot;* #,##0_-\ ;_-&quot;\&quot;* &quot;-&quot;??_-\ ;_-@_-"/>
    <numFmt numFmtId="181" formatCode="yyyy\-m"/>
    <numFmt numFmtId="182" formatCode="yyyy\-mm\-dd"/>
  </numFmts>
  <fonts count="39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rgb="FF000000"/>
      <name val="MS PGothic"/>
      <charset val="134"/>
    </font>
    <font>
      <b/>
      <sz val="10"/>
      <color rgb="FF000000"/>
      <name val="Arial"/>
      <charset val="134"/>
      <scheme val="minor"/>
    </font>
    <font>
      <sz val="10"/>
      <color rgb="FFFF0000"/>
      <name val="Arial"/>
      <charset val="134"/>
      <scheme val="minor"/>
    </font>
    <font>
      <sz val="10"/>
      <color rgb="FF0000FF"/>
      <name val="Arial"/>
      <charset val="134"/>
      <scheme val="minor"/>
    </font>
    <font>
      <i/>
      <sz val="10"/>
      <color rgb="FFFF0000"/>
      <name val="Arial"/>
      <charset val="134"/>
      <scheme val="minor"/>
    </font>
    <font>
      <sz val="10"/>
      <color theme="1"/>
      <name val="Arial"/>
      <charset val="134"/>
    </font>
    <font>
      <sz val="9"/>
      <color theme="1"/>
      <name val="Arial"/>
      <charset val="134"/>
      <scheme val="minor"/>
    </font>
    <font>
      <sz val="9"/>
      <color theme="1"/>
      <name val="Arial"/>
      <charset val="134"/>
    </font>
    <font>
      <sz val="11"/>
      <color rgb="FF000000"/>
      <name val="ＭＳ Ｐゴシック"/>
      <charset val="134"/>
    </font>
    <font>
      <sz val="8"/>
      <color rgb="FFFF0000"/>
      <name val="Arial"/>
      <charset val="134"/>
      <scheme val="minor"/>
    </font>
    <font>
      <b/>
      <sz val="8"/>
      <color rgb="FFFF0000"/>
      <name val="Arial"/>
      <charset val="134"/>
      <scheme val="minor"/>
    </font>
    <font>
      <b/>
      <sz val="11"/>
      <color rgb="FF000000"/>
      <name val="ＭＳ Ｐゴシック"/>
      <charset val="134"/>
    </font>
    <font>
      <sz val="12"/>
      <color rgb="FF000000"/>
      <name val="MS PGothic"/>
      <charset val="134"/>
    </font>
    <font>
      <b/>
      <sz val="9"/>
      <color rgb="FF000000"/>
      <name val="MS PGothic"/>
      <charset val="134"/>
    </font>
    <font>
      <sz val="9"/>
      <color rgb="FF000000"/>
      <name val="MS PGothic"/>
      <charset val="134"/>
    </font>
    <font>
      <sz val="8"/>
      <color rgb="FF000000"/>
      <name val="MS PGothic"/>
      <charset val="134"/>
    </font>
    <font>
      <sz val="11"/>
      <color theme="1"/>
      <name val="Arial"/>
      <charset val="134"/>
      <scheme val="minor"/>
    </font>
    <font>
      <b/>
      <sz val="11"/>
      <color theme="3"/>
      <name val="Arial"/>
      <charset val="134"/>
      <scheme val="minor"/>
    </font>
    <font>
      <b/>
      <sz val="11"/>
      <color rgb="FFFFFFFF"/>
      <name val="Arial"/>
      <charset val="0"/>
      <scheme val="minor"/>
    </font>
    <font>
      <sz val="11"/>
      <color rgb="FF3F3F76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006100"/>
      <name val="Arial"/>
      <charset val="0"/>
      <scheme val="minor"/>
    </font>
    <font>
      <u/>
      <sz val="11"/>
      <color rgb="FF0000FF"/>
      <name val="Arial"/>
      <charset val="0"/>
      <scheme val="minor"/>
    </font>
    <font>
      <b/>
      <sz val="11"/>
      <color rgb="FF3F3F3F"/>
      <name val="Arial"/>
      <charset val="0"/>
      <scheme val="minor"/>
    </font>
    <font>
      <u/>
      <sz val="11"/>
      <color rgb="FF800080"/>
      <name val="Arial"/>
      <charset val="0"/>
      <scheme val="minor"/>
    </font>
    <font>
      <i/>
      <sz val="11"/>
      <color rgb="FF7F7F7F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8"/>
      <color theme="3"/>
      <name val="Arial"/>
      <charset val="134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sz val="11"/>
      <color rgb="FF9C6500"/>
      <name val="Arial"/>
      <charset val="0"/>
      <scheme val="minor"/>
    </font>
    <font>
      <b/>
      <sz val="11"/>
      <color theme="1"/>
      <name val="Arial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DBDB"/>
        <bgColor rgb="FFF2DBDB"/>
      </patternFill>
    </fill>
    <fill>
      <patternFill patternType="solid">
        <fgColor rgb="FFFFFF00"/>
        <bgColor rgb="FFFFFF00"/>
      </patternFill>
    </fill>
    <fill>
      <patternFill patternType="solid">
        <fgColor rgb="FFE5DFEC"/>
        <bgColor rgb="FFE5DFEC"/>
      </patternFill>
    </fill>
    <fill>
      <patternFill patternType="solid">
        <fgColor rgb="FFFFCCCC"/>
        <bgColor rgb="FFFFCCCC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9" fillId="0" borderId="0" applyFont="0" applyFill="0" applyBorder="0" applyAlignment="0" applyProtection="0">
      <alignment vertical="center"/>
    </xf>
    <xf numFmtId="0" fontId="22" fillId="11" borderId="11" applyNumberFormat="0" applyAlignment="0" applyProtection="0">
      <alignment vertical="center"/>
    </xf>
    <xf numFmtId="176" fontId="19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180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9" fillId="25" borderId="13" applyNumberFormat="0" applyFont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8" fillId="21" borderId="12" applyNumberFormat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0" fontId="32" fillId="21" borderId="11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1" fillId="10" borderId="10" applyNumberFormat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</cellStyleXfs>
  <cellXfs count="78">
    <xf numFmtId="0" fontId="0" fillId="0" borderId="0" xfId="0" applyFont="1" applyAlignment="1"/>
    <xf numFmtId="0" fontId="1" fillId="0" borderId="0" xfId="0" applyFont="1" applyAlignment="1"/>
    <xf numFmtId="177" fontId="1" fillId="2" borderId="0" xfId="0" applyNumberFormat="1" applyFont="1" applyFill="1" applyAlignment="1"/>
    <xf numFmtId="177" fontId="2" fillId="0" borderId="0" xfId="0" applyNumberFormat="1" applyFont="1" applyAlignment="1"/>
    <xf numFmtId="0" fontId="3" fillId="3" borderId="1" xfId="0" applyFont="1" applyFill="1" applyBorder="1" applyAlignment="1">
      <alignment horizontal="center"/>
    </xf>
    <xf numFmtId="0" fontId="4" fillId="0" borderId="0" xfId="0" applyFont="1" applyAlignment="1"/>
    <xf numFmtId="0" fontId="3" fillId="0" borderId="2" xfId="0" applyFont="1" applyBorder="1" applyAlignment="1">
      <alignment horizontal="center"/>
    </xf>
    <xf numFmtId="0" fontId="0" fillId="4" borderId="0" xfId="0" applyFont="1" applyFill="1" applyAlignment="1"/>
    <xf numFmtId="0" fontId="3" fillId="3" borderId="2" xfId="0" applyFont="1" applyFill="1" applyBorder="1" applyAlignment="1">
      <alignment horizontal="center"/>
    </xf>
    <xf numFmtId="0" fontId="5" fillId="0" borderId="0" xfId="0" applyFont="1" applyAlignment="1"/>
    <xf numFmtId="0" fontId="4" fillId="4" borderId="0" xfId="0" applyFont="1" applyFill="1" applyAlignment="1"/>
    <xf numFmtId="0" fontId="3" fillId="5" borderId="2" xfId="0" applyFont="1" applyFill="1" applyBorder="1" applyAlignment="1">
      <alignment horizontal="center"/>
    </xf>
    <xf numFmtId="0" fontId="0" fillId="0" borderId="0" xfId="0" applyFont="1"/>
    <xf numFmtId="0" fontId="6" fillId="0" borderId="0" xfId="0" applyFont="1" applyAlignment="1"/>
    <xf numFmtId="0" fontId="2" fillId="0" borderId="0" xfId="0" applyFont="1" applyAlignment="1"/>
    <xf numFmtId="0" fontId="2" fillId="2" borderId="0" xfId="0" applyFont="1" applyFill="1" applyAlignment="1"/>
    <xf numFmtId="177" fontId="2" fillId="0" borderId="0" xfId="0" applyNumberFormat="1" applyFont="1" applyAlignment="1">
      <alignment horizontal="right"/>
    </xf>
    <xf numFmtId="0" fontId="7" fillId="0" borderId="0" xfId="0" applyFont="1" applyAlignment="1"/>
    <xf numFmtId="0" fontId="2" fillId="0" borderId="0" xfId="0" applyFont="1"/>
    <xf numFmtId="0" fontId="2" fillId="6" borderId="0" xfId="0" applyFont="1" applyFill="1"/>
    <xf numFmtId="0" fontId="1" fillId="0" borderId="0" xfId="0" applyFont="1" applyAlignment="1">
      <alignment horizontal="center"/>
    </xf>
    <xf numFmtId="0" fontId="2" fillId="7" borderId="0" xfId="0" applyFont="1" applyFill="1" applyAlignment="1"/>
    <xf numFmtId="0" fontId="2" fillId="8" borderId="0" xfId="0" applyFont="1" applyFill="1" applyAlignment="1"/>
    <xf numFmtId="0" fontId="0" fillId="7" borderId="0" xfId="0" applyFont="1" applyFill="1" applyAlignment="1"/>
    <xf numFmtId="0" fontId="0" fillId="7" borderId="0" xfId="0" applyFont="1" applyFill="1"/>
    <xf numFmtId="71" fontId="8" fillId="0" borderId="0" xfId="0" applyNumberFormat="1" applyFont="1" applyAlignment="1">
      <alignment horizontal="right"/>
    </xf>
    <xf numFmtId="71" fontId="9" fillId="0" borderId="0" xfId="0" applyNumberFormat="1" applyFont="1" applyAlignment="1"/>
    <xf numFmtId="0" fontId="2" fillId="0" borderId="0" xfId="0" applyFont="1" applyAlignment="1">
      <alignment horizontal="center"/>
    </xf>
    <xf numFmtId="0" fontId="8" fillId="0" borderId="0" xfId="0" applyFont="1" applyAlignment="1"/>
    <xf numFmtId="0" fontId="10" fillId="0" borderId="0" xfId="0" applyFont="1" applyAlignment="1"/>
    <xf numFmtId="71" fontId="10" fillId="0" borderId="0" xfId="0" applyNumberFormat="1" applyFont="1" applyAlignment="1"/>
    <xf numFmtId="71" fontId="8" fillId="0" borderId="0" xfId="0" applyNumberFormat="1" applyFont="1" applyAlignment="1"/>
    <xf numFmtId="14" fontId="8" fillId="0" borderId="0" xfId="0" applyNumberFormat="1" applyFont="1" applyAlignment="1">
      <alignment horizontal="right"/>
    </xf>
    <xf numFmtId="14" fontId="8" fillId="0" borderId="0" xfId="0" applyNumberFormat="1" applyFont="1" applyAlignment="1"/>
    <xf numFmtId="181" fontId="2" fillId="0" borderId="0" xfId="0" applyNumberFormat="1" applyFont="1" applyAlignment="1"/>
    <xf numFmtId="0" fontId="11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71" fontId="12" fillId="0" borderId="3" xfId="0" applyNumberFormat="1" applyFont="1" applyBorder="1" applyAlignment="1">
      <alignment horizontal="right"/>
    </xf>
    <xf numFmtId="71" fontId="12" fillId="0" borderId="3" xfId="0" applyNumberFormat="1" applyFont="1" applyBorder="1"/>
    <xf numFmtId="71" fontId="12" fillId="0" borderId="3" xfId="0" applyNumberFormat="1" applyFont="1" applyBorder="1" applyAlignment="1"/>
    <xf numFmtId="71" fontId="12" fillId="0" borderId="2" xfId="0" applyNumberFormat="1" applyFont="1" applyBorder="1"/>
    <xf numFmtId="0" fontId="0" fillId="0" borderId="4" xfId="0" applyFont="1" applyBorder="1" applyAlignment="1"/>
    <xf numFmtId="71" fontId="13" fillId="0" borderId="3" xfId="0" applyNumberFormat="1" applyFont="1" applyBorder="1" applyAlignment="1">
      <alignment horizontal="center"/>
    </xf>
    <xf numFmtId="71" fontId="12" fillId="0" borderId="2" xfId="0" applyNumberFormat="1" applyFont="1" applyBorder="1" applyAlignment="1"/>
    <xf numFmtId="0" fontId="12" fillId="0" borderId="3" xfId="0" applyFont="1" applyBorder="1" applyAlignment="1">
      <alignment horizontal="right"/>
    </xf>
    <xf numFmtId="71" fontId="2" fillId="0" borderId="0" xfId="0" applyNumberFormat="1" applyFont="1" applyAlignment="1">
      <alignment horizontal="right"/>
    </xf>
    <xf numFmtId="0" fontId="3" fillId="0" borderId="1" xfId="0" applyFont="1" applyBorder="1" applyAlignment="1">
      <alignment horizontal="center"/>
    </xf>
    <xf numFmtId="179" fontId="1" fillId="2" borderId="0" xfId="0" applyNumberFormat="1" applyFont="1" applyFill="1" applyAlignment="1"/>
    <xf numFmtId="179" fontId="2" fillId="0" borderId="0" xfId="0" applyNumberFormat="1" applyFont="1"/>
    <xf numFmtId="179" fontId="2" fillId="0" borderId="0" xfId="0" applyNumberFormat="1" applyFont="1" applyAlignment="1">
      <alignment horizontal="right"/>
    </xf>
    <xf numFmtId="0" fontId="14" fillId="0" borderId="3" xfId="0" applyFont="1" applyBorder="1" applyAlignment="1">
      <alignment horizontal="center" vertical="top"/>
    </xf>
    <xf numFmtId="182" fontId="11" fillId="0" borderId="0" xfId="0" applyNumberFormat="1" applyFont="1" applyAlignment="1"/>
    <xf numFmtId="0" fontId="1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15" fillId="3" borderId="5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6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2" fillId="0" borderId="0" xfId="0" applyFont="1" applyFill="1" applyAlignment="1"/>
    <xf numFmtId="0" fontId="16" fillId="0" borderId="6" xfId="0" applyFont="1" applyFill="1" applyBorder="1" applyAlignment="1">
      <alignment horizontal="center"/>
    </xf>
    <xf numFmtId="0" fontId="17" fillId="9" borderId="2" xfId="0" applyFont="1" applyFill="1" applyBorder="1" applyAlignment="1">
      <alignment horizontal="center"/>
    </xf>
    <xf numFmtId="0" fontId="18" fillId="9" borderId="2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16" fillId="0" borderId="5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0" fillId="9" borderId="4" xfId="0" applyFont="1" applyFill="1" applyBorder="1" applyAlignment="1"/>
    <xf numFmtId="0" fontId="1" fillId="0" borderId="3" xfId="0" applyFont="1" applyBorder="1" applyAlignment="1"/>
    <xf numFmtId="0" fontId="2" fillId="0" borderId="3" xfId="0" applyFont="1" applyBorder="1" applyAlignment="1"/>
    <xf numFmtId="0" fontId="2" fillId="0" borderId="3" xfId="0" applyFont="1" applyBorder="1"/>
    <xf numFmtId="0" fontId="2" fillId="0" borderId="3" xfId="0" applyFont="1" applyFill="1" applyBorder="1" applyAlignment="1"/>
    <xf numFmtId="0" fontId="2" fillId="0" borderId="8" xfId="0" applyFont="1" applyBorder="1"/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59"/>
  <sheetViews>
    <sheetView tabSelected="1" zoomScale="70" zoomScaleNormal="70" topLeftCell="A45" workbookViewId="0">
      <selection activeCell="L64" sqref="L64"/>
    </sheetView>
  </sheetViews>
  <sheetFormatPr defaultColWidth="12.6272727272727" defaultRowHeight="15.75" customHeight="1"/>
  <cols>
    <col min="2" max="2" width="18.8818181818182" customWidth="1"/>
  </cols>
  <sheetData>
    <row r="1" customHeight="1" spans="1:14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2" t="s">
        <v>9</v>
      </c>
      <c r="K1" s="52" t="s">
        <v>10</v>
      </c>
      <c r="L1" s="73" t="s">
        <v>11</v>
      </c>
      <c r="M1" s="52" t="s">
        <v>12</v>
      </c>
      <c r="N1" s="1"/>
    </row>
    <row r="2" customHeight="1" spans="1:13">
      <c r="A2" s="56">
        <v>0</v>
      </c>
      <c r="B2" s="57" t="s">
        <v>13</v>
      </c>
      <c r="C2" s="58" t="s">
        <v>14</v>
      </c>
      <c r="D2" s="59" t="s">
        <v>14</v>
      </c>
      <c r="E2" s="14" t="b">
        <v>0</v>
      </c>
      <c r="F2" s="14" t="b">
        <v>0</v>
      </c>
      <c r="G2" s="14" t="b">
        <v>0</v>
      </c>
      <c r="H2" s="14" t="b">
        <v>0</v>
      </c>
      <c r="I2" s="14" t="b">
        <v>1</v>
      </c>
      <c r="J2" s="74"/>
      <c r="K2" s="75"/>
      <c r="L2" s="75"/>
      <c r="M2" s="74"/>
    </row>
    <row r="3" customHeight="1" spans="1:13">
      <c r="A3" s="56">
        <v>0</v>
      </c>
      <c r="B3" s="57" t="s">
        <v>15</v>
      </c>
      <c r="C3" s="58" t="s">
        <v>14</v>
      </c>
      <c r="D3" s="59" t="s">
        <v>14</v>
      </c>
      <c r="E3" s="14" t="b">
        <v>0</v>
      </c>
      <c r="F3" s="14" t="b">
        <v>0</v>
      </c>
      <c r="G3" s="14" t="b">
        <v>0</v>
      </c>
      <c r="H3" s="14" t="b">
        <v>0</v>
      </c>
      <c r="I3" s="14" t="b">
        <v>1</v>
      </c>
      <c r="J3" s="75"/>
      <c r="K3" s="75"/>
      <c r="L3" s="75"/>
      <c r="M3" s="75"/>
    </row>
    <row r="4" customHeight="1" spans="1:13">
      <c r="A4" s="56">
        <v>0</v>
      </c>
      <c r="B4" s="57" t="s">
        <v>16</v>
      </c>
      <c r="C4" s="58" t="s">
        <v>14</v>
      </c>
      <c r="D4" s="60" t="s">
        <v>14</v>
      </c>
      <c r="E4" s="14" t="b">
        <v>0</v>
      </c>
      <c r="F4" s="14" t="b">
        <v>0</v>
      </c>
      <c r="G4" s="14" t="b">
        <v>0</v>
      </c>
      <c r="H4" s="14" t="b">
        <v>0</v>
      </c>
      <c r="I4" s="14" t="b">
        <v>1</v>
      </c>
      <c r="J4" s="75"/>
      <c r="K4" s="75"/>
      <c r="L4" s="75"/>
      <c r="M4" s="75"/>
    </row>
    <row r="5" customHeight="1" spans="1:13">
      <c r="A5" s="56">
        <v>0</v>
      </c>
      <c r="B5" s="57" t="s">
        <v>17</v>
      </c>
      <c r="C5" s="61" t="s">
        <v>14</v>
      </c>
      <c r="D5" s="59" t="s">
        <v>18</v>
      </c>
      <c r="E5" s="14" t="b">
        <v>0</v>
      </c>
      <c r="F5" s="14" t="b">
        <v>1</v>
      </c>
      <c r="G5" s="14" t="b">
        <v>0</v>
      </c>
      <c r="H5" s="14" t="b">
        <v>0</v>
      </c>
      <c r="I5" s="14" t="b">
        <v>1</v>
      </c>
      <c r="J5" s="75"/>
      <c r="K5" s="75"/>
      <c r="L5" s="75"/>
      <c r="M5" s="75"/>
    </row>
    <row r="6" customHeight="1" spans="1:13">
      <c r="A6" s="56">
        <v>0</v>
      </c>
      <c r="B6" s="57" t="s">
        <v>19</v>
      </c>
      <c r="C6" s="58" t="s">
        <v>14</v>
      </c>
      <c r="D6" s="59" t="s">
        <v>18</v>
      </c>
      <c r="E6" s="14" t="b">
        <v>0</v>
      </c>
      <c r="F6" s="14" t="b">
        <v>1</v>
      </c>
      <c r="G6" s="14" t="b">
        <v>0</v>
      </c>
      <c r="H6" s="14" t="b">
        <v>0</v>
      </c>
      <c r="I6" s="14" t="b">
        <v>1</v>
      </c>
      <c r="J6" s="75"/>
      <c r="K6" s="75"/>
      <c r="L6" s="75"/>
      <c r="M6" s="75"/>
    </row>
    <row r="7" customHeight="1" spans="1:13">
      <c r="A7" s="56">
        <v>0</v>
      </c>
      <c r="B7" s="57"/>
      <c r="C7" s="58"/>
      <c r="D7" s="59"/>
      <c r="E7" s="14"/>
      <c r="F7" s="14"/>
      <c r="G7" s="14"/>
      <c r="H7" s="14"/>
      <c r="I7" s="14"/>
      <c r="J7" s="75"/>
      <c r="K7" s="75"/>
      <c r="L7" s="75"/>
      <c r="M7" s="75"/>
    </row>
    <row r="8" customHeight="1" spans="1:13">
      <c r="A8" s="56">
        <v>0</v>
      </c>
      <c r="B8" s="57" t="s">
        <v>20</v>
      </c>
      <c r="C8" s="58" t="s">
        <v>14</v>
      </c>
      <c r="D8" s="59" t="s">
        <v>18</v>
      </c>
      <c r="E8" s="14" t="b">
        <v>1</v>
      </c>
      <c r="F8" s="14" t="b">
        <v>1</v>
      </c>
      <c r="G8" s="14" t="b">
        <v>1</v>
      </c>
      <c r="H8" s="14" t="b">
        <v>0</v>
      </c>
      <c r="I8" s="14" t="b">
        <v>1</v>
      </c>
      <c r="J8" s="75"/>
      <c r="K8" s="75"/>
      <c r="L8" s="75"/>
      <c r="M8" s="75"/>
    </row>
    <row r="9" customHeight="1" spans="1:13">
      <c r="A9" s="56">
        <v>0</v>
      </c>
      <c r="B9" s="57" t="s">
        <v>21</v>
      </c>
      <c r="C9" s="62" t="s">
        <v>14</v>
      </c>
      <c r="D9" s="63" t="s">
        <v>18</v>
      </c>
      <c r="E9" s="64" t="b">
        <v>1</v>
      </c>
      <c r="F9" s="64" t="b">
        <v>1</v>
      </c>
      <c r="G9" s="64" t="b">
        <v>1</v>
      </c>
      <c r="H9" s="64" t="b">
        <v>0</v>
      </c>
      <c r="I9" s="64" t="b">
        <v>1</v>
      </c>
      <c r="J9" s="76"/>
      <c r="K9" s="76"/>
      <c r="L9" s="76"/>
      <c r="M9" s="76"/>
    </row>
    <row r="10" customHeight="1" spans="1:15">
      <c r="A10" s="56">
        <v>0</v>
      </c>
      <c r="B10" s="57" t="s">
        <v>22</v>
      </c>
      <c r="C10" s="62" t="s">
        <v>14</v>
      </c>
      <c r="D10" s="63" t="s">
        <v>18</v>
      </c>
      <c r="E10" s="64" t="b">
        <v>1</v>
      </c>
      <c r="F10" s="64" t="b">
        <v>1</v>
      </c>
      <c r="G10" s="64" t="b">
        <v>1</v>
      </c>
      <c r="H10" s="64" t="b">
        <v>1</v>
      </c>
      <c r="I10" s="64" t="b">
        <v>1</v>
      </c>
      <c r="J10" s="76"/>
      <c r="K10" s="76"/>
      <c r="L10" s="76"/>
      <c r="M10" s="76"/>
      <c r="N10" s="14"/>
      <c r="O10" s="14"/>
    </row>
    <row r="11" customHeight="1" spans="1:13">
      <c r="A11" s="56">
        <v>0</v>
      </c>
      <c r="B11" s="57" t="s">
        <v>23</v>
      </c>
      <c r="C11" s="62" t="s">
        <v>14</v>
      </c>
      <c r="D11" s="60" t="s">
        <v>18</v>
      </c>
      <c r="E11" s="64" t="b">
        <v>1</v>
      </c>
      <c r="F11" s="64" t="b">
        <v>1</v>
      </c>
      <c r="G11" s="64" t="b">
        <v>1</v>
      </c>
      <c r="H11" s="64" t="b">
        <v>1</v>
      </c>
      <c r="I11" s="64" t="b">
        <v>1</v>
      </c>
      <c r="J11" s="76"/>
      <c r="K11" s="76"/>
      <c r="L11" s="76"/>
      <c r="M11" s="76"/>
    </row>
    <row r="12" customHeight="1" spans="1:16">
      <c r="A12" s="56">
        <v>0</v>
      </c>
      <c r="B12" s="57" t="s">
        <v>24</v>
      </c>
      <c r="C12" s="65" t="s">
        <v>14</v>
      </c>
      <c r="D12" s="63" t="s">
        <v>18</v>
      </c>
      <c r="E12" s="64" t="b">
        <v>1</v>
      </c>
      <c r="F12" s="64" t="b">
        <v>1</v>
      </c>
      <c r="G12" s="64" t="b">
        <v>1</v>
      </c>
      <c r="H12" s="64" t="b">
        <v>1</v>
      </c>
      <c r="I12" s="64" t="b">
        <v>1</v>
      </c>
      <c r="J12" s="76"/>
      <c r="K12" s="76"/>
      <c r="L12" s="76"/>
      <c r="M12" s="76"/>
      <c r="N12" s="14"/>
      <c r="P12" s="14"/>
    </row>
    <row r="13" customHeight="1" spans="1:13">
      <c r="A13" s="56">
        <v>0</v>
      </c>
      <c r="B13" s="57" t="s">
        <v>25</v>
      </c>
      <c r="C13" s="62" t="s">
        <v>14</v>
      </c>
      <c r="D13" s="63" t="s">
        <v>18</v>
      </c>
      <c r="E13" s="64" t="b">
        <v>1</v>
      </c>
      <c r="F13" s="64" t="b">
        <v>1</v>
      </c>
      <c r="G13" s="64" t="b">
        <v>1</v>
      </c>
      <c r="H13" s="64" t="b">
        <v>1</v>
      </c>
      <c r="I13" s="64" t="b">
        <v>1</v>
      </c>
      <c r="J13" s="76"/>
      <c r="K13" s="76"/>
      <c r="L13" s="76"/>
      <c r="M13" s="76"/>
    </row>
    <row r="14" customHeight="1" spans="1:13">
      <c r="A14" s="56">
        <v>0</v>
      </c>
      <c r="B14" s="57" t="s">
        <v>26</v>
      </c>
      <c r="C14" s="62" t="s">
        <v>14</v>
      </c>
      <c r="D14" s="63" t="s">
        <v>18</v>
      </c>
      <c r="E14" s="64" t="b">
        <v>1</v>
      </c>
      <c r="F14" s="64" t="b">
        <v>1</v>
      </c>
      <c r="G14" s="64" t="b">
        <v>1</v>
      </c>
      <c r="H14" s="64" t="b">
        <v>1</v>
      </c>
      <c r="I14" s="64" t="b">
        <v>1</v>
      </c>
      <c r="J14" s="76"/>
      <c r="K14" s="76"/>
      <c r="L14" s="76"/>
      <c r="M14" s="76"/>
    </row>
    <row r="15" customHeight="1" spans="1:13">
      <c r="A15" s="56">
        <v>0</v>
      </c>
      <c r="B15" s="57" t="s">
        <v>27</v>
      </c>
      <c r="C15" s="62" t="s">
        <v>14</v>
      </c>
      <c r="D15" s="63" t="s">
        <v>18</v>
      </c>
      <c r="E15" s="64" t="b">
        <v>1</v>
      </c>
      <c r="F15" s="64" t="b">
        <v>1</v>
      </c>
      <c r="G15" s="64" t="b">
        <v>1</v>
      </c>
      <c r="H15" s="64" t="b">
        <v>1</v>
      </c>
      <c r="I15" s="64" t="b">
        <v>1</v>
      </c>
      <c r="J15" s="76"/>
      <c r="K15" s="76"/>
      <c r="L15" s="76"/>
      <c r="M15" s="76"/>
    </row>
    <row r="16" customHeight="1" spans="1:13">
      <c r="A16" s="56">
        <v>0</v>
      </c>
      <c r="B16" s="57" t="s">
        <v>28</v>
      </c>
      <c r="C16" s="62" t="s">
        <v>14</v>
      </c>
      <c r="D16" s="63" t="s">
        <v>18</v>
      </c>
      <c r="E16" s="64" t="b">
        <v>1</v>
      </c>
      <c r="F16" s="64" t="b">
        <v>1</v>
      </c>
      <c r="G16" s="64" t="b">
        <v>1</v>
      </c>
      <c r="H16" s="64" t="b">
        <v>1</v>
      </c>
      <c r="I16" s="64" t="b">
        <v>1</v>
      </c>
      <c r="J16" s="76"/>
      <c r="K16" s="76"/>
      <c r="L16" s="76"/>
      <c r="M16" s="76"/>
    </row>
    <row r="17" customHeight="1" spans="1:13">
      <c r="A17" s="56">
        <v>0</v>
      </c>
      <c r="B17" s="57" t="s">
        <v>29</v>
      </c>
      <c r="C17" s="62" t="s">
        <v>14</v>
      </c>
      <c r="D17" s="63" t="s">
        <v>18</v>
      </c>
      <c r="E17" s="64" t="b">
        <v>1</v>
      </c>
      <c r="F17" s="64" t="b">
        <v>1</v>
      </c>
      <c r="G17" s="64" t="b">
        <v>1</v>
      </c>
      <c r="H17" s="64" t="b">
        <v>1</v>
      </c>
      <c r="I17" s="64" t="b">
        <v>1</v>
      </c>
      <c r="J17" s="76"/>
      <c r="K17" s="76"/>
      <c r="L17" s="76"/>
      <c r="M17" s="76"/>
    </row>
    <row r="18" customHeight="1" spans="1:13">
      <c r="A18" s="56">
        <v>0</v>
      </c>
      <c r="B18" s="57" t="s">
        <v>30</v>
      </c>
      <c r="C18" s="62" t="s">
        <v>14</v>
      </c>
      <c r="D18" s="63" t="s">
        <v>18</v>
      </c>
      <c r="E18" s="64" t="b">
        <v>1</v>
      </c>
      <c r="F18" s="64" t="b">
        <v>1</v>
      </c>
      <c r="G18" s="64" t="b">
        <v>1</v>
      </c>
      <c r="H18" s="64" t="b">
        <v>1</v>
      </c>
      <c r="I18" s="64" t="b">
        <v>1</v>
      </c>
      <c r="J18" s="76"/>
      <c r="K18" s="76"/>
      <c r="L18" s="76"/>
      <c r="M18" s="76"/>
    </row>
    <row r="19" customHeight="1" spans="1:13">
      <c r="A19" s="56">
        <v>0</v>
      </c>
      <c r="B19" s="57" t="s">
        <v>31</v>
      </c>
      <c r="C19" s="62" t="s">
        <v>14</v>
      </c>
      <c r="D19" s="63" t="s">
        <v>18</v>
      </c>
      <c r="E19" s="64" t="b">
        <v>1</v>
      </c>
      <c r="F19" s="64" t="b">
        <v>1</v>
      </c>
      <c r="G19" s="64" t="b">
        <v>1</v>
      </c>
      <c r="H19" s="64" t="b">
        <v>1</v>
      </c>
      <c r="I19" s="64" t="b">
        <v>1</v>
      </c>
      <c r="J19" s="76"/>
      <c r="K19" s="76"/>
      <c r="L19" s="76"/>
      <c r="M19" s="76"/>
    </row>
    <row r="20" customHeight="1" spans="1:13">
      <c r="A20" s="56">
        <v>0</v>
      </c>
      <c r="B20" s="57" t="s">
        <v>32</v>
      </c>
      <c r="C20" s="62" t="s">
        <v>14</v>
      </c>
      <c r="D20" s="63" t="s">
        <v>18</v>
      </c>
      <c r="E20" s="64" t="b">
        <v>1</v>
      </c>
      <c r="F20" s="64" t="b">
        <v>1</v>
      </c>
      <c r="G20" s="64" t="b">
        <v>1</v>
      </c>
      <c r="H20" s="64" t="b">
        <v>1</v>
      </c>
      <c r="I20" s="64" t="b">
        <v>1</v>
      </c>
      <c r="J20" s="76"/>
      <c r="K20" s="76"/>
      <c r="L20" s="76"/>
      <c r="M20" s="76"/>
    </row>
    <row r="21" customHeight="1" spans="1:13">
      <c r="A21" s="56">
        <v>0</v>
      </c>
      <c r="B21" s="57" t="s">
        <v>33</v>
      </c>
      <c r="C21" s="62" t="s">
        <v>14</v>
      </c>
      <c r="D21" s="63" t="s">
        <v>18</v>
      </c>
      <c r="E21" s="64" t="b">
        <v>1</v>
      </c>
      <c r="F21" s="64" t="b">
        <v>1</v>
      </c>
      <c r="G21" s="64" t="b">
        <v>1</v>
      </c>
      <c r="H21" s="64" t="b">
        <v>1</v>
      </c>
      <c r="I21" s="64" t="b">
        <v>1</v>
      </c>
      <c r="J21" s="76"/>
      <c r="K21" s="76"/>
      <c r="L21" s="76"/>
      <c r="M21" s="76"/>
    </row>
    <row r="22" customHeight="1" spans="1:13">
      <c r="A22" s="56">
        <v>0</v>
      </c>
      <c r="B22" s="57" t="s">
        <v>34</v>
      </c>
      <c r="C22" s="62" t="s">
        <v>14</v>
      </c>
      <c r="D22" s="63" t="s">
        <v>18</v>
      </c>
      <c r="E22" s="64" t="b">
        <v>1</v>
      </c>
      <c r="F22" s="64" t="b">
        <v>1</v>
      </c>
      <c r="G22" s="64" t="b">
        <v>1</v>
      </c>
      <c r="H22" s="64" t="b">
        <v>1</v>
      </c>
      <c r="I22" s="64" t="b">
        <v>1</v>
      </c>
      <c r="J22" s="76"/>
      <c r="K22" s="76"/>
      <c r="L22" s="76"/>
      <c r="M22" s="76"/>
    </row>
    <row r="23" customHeight="1" spans="1:13">
      <c r="A23" s="56">
        <v>0</v>
      </c>
      <c r="B23" s="57" t="s">
        <v>35</v>
      </c>
      <c r="C23" s="62" t="s">
        <v>14</v>
      </c>
      <c r="D23" s="63" t="s">
        <v>18</v>
      </c>
      <c r="E23" s="64" t="b">
        <v>1</v>
      </c>
      <c r="F23" s="64" t="b">
        <v>1</v>
      </c>
      <c r="G23" s="64" t="b">
        <v>1</v>
      </c>
      <c r="H23" s="64" t="b">
        <v>1</v>
      </c>
      <c r="I23" s="64" t="b">
        <v>1</v>
      </c>
      <c r="J23" s="76"/>
      <c r="K23" s="76"/>
      <c r="L23" s="76"/>
      <c r="M23" s="76"/>
    </row>
    <row r="24" customHeight="1" spans="1:13">
      <c r="A24" s="56">
        <v>0</v>
      </c>
      <c r="B24" s="57" t="s">
        <v>36</v>
      </c>
      <c r="C24" s="62" t="s">
        <v>14</v>
      </c>
      <c r="D24" s="63" t="s">
        <v>18</v>
      </c>
      <c r="E24" s="64" t="b">
        <v>1</v>
      </c>
      <c r="F24" s="64" t="b">
        <v>1</v>
      </c>
      <c r="G24" s="64" t="b">
        <v>1</v>
      </c>
      <c r="H24" s="64" t="b">
        <v>1</v>
      </c>
      <c r="I24" s="64" t="b">
        <v>1</v>
      </c>
      <c r="J24" s="76"/>
      <c r="K24" s="76"/>
      <c r="L24" s="76"/>
      <c r="M24" s="76"/>
    </row>
    <row r="25" customHeight="1" spans="1:13">
      <c r="A25" s="56">
        <v>0</v>
      </c>
      <c r="B25" s="57" t="s">
        <v>37</v>
      </c>
      <c r="C25" s="62" t="s">
        <v>14</v>
      </c>
      <c r="D25" s="63" t="s">
        <v>18</v>
      </c>
      <c r="E25" s="64" t="b">
        <v>1</v>
      </c>
      <c r="F25" s="64" t="b">
        <v>1</v>
      </c>
      <c r="G25" s="64" t="b">
        <v>1</v>
      </c>
      <c r="H25" s="64" t="b">
        <v>1</v>
      </c>
      <c r="I25" s="64" t="b">
        <v>1</v>
      </c>
      <c r="J25" s="76"/>
      <c r="K25" s="76"/>
      <c r="L25" s="76"/>
      <c r="M25" s="76"/>
    </row>
    <row r="26" customHeight="1" spans="1:13">
      <c r="A26" s="56">
        <v>0</v>
      </c>
      <c r="B26" s="57" t="s">
        <v>38</v>
      </c>
      <c r="C26" s="65" t="s">
        <v>14</v>
      </c>
      <c r="D26" s="63" t="s">
        <v>18</v>
      </c>
      <c r="E26" s="64" t="b">
        <v>1</v>
      </c>
      <c r="F26" s="64" t="b">
        <v>1</v>
      </c>
      <c r="G26" s="64" t="b">
        <v>1</v>
      </c>
      <c r="H26" s="64" t="b">
        <v>1</v>
      </c>
      <c r="I26" s="64" t="b">
        <v>1</v>
      </c>
      <c r="J26" s="76"/>
      <c r="K26" s="76"/>
      <c r="L26" s="76"/>
      <c r="M26" s="76"/>
    </row>
    <row r="27" customHeight="1" spans="1:13">
      <c r="A27" s="56">
        <v>0</v>
      </c>
      <c r="B27" s="66" t="s">
        <v>39</v>
      </c>
      <c r="C27" s="65" t="s">
        <v>14</v>
      </c>
      <c r="D27" s="63" t="s">
        <v>18</v>
      </c>
      <c r="E27" s="64" t="b">
        <v>1</v>
      </c>
      <c r="F27" s="64" t="b">
        <v>1</v>
      </c>
      <c r="G27" s="64" t="b">
        <v>1</v>
      </c>
      <c r="H27" s="64" t="b">
        <v>1</v>
      </c>
      <c r="I27" s="64" t="b">
        <v>1</v>
      </c>
      <c r="J27" s="76"/>
      <c r="K27" s="76"/>
      <c r="L27" s="76"/>
      <c r="M27" s="76"/>
    </row>
    <row r="28" customHeight="1" spans="1:13">
      <c r="A28" s="56">
        <v>0</v>
      </c>
      <c r="B28" s="57" t="s">
        <v>40</v>
      </c>
      <c r="C28" s="65" t="s">
        <v>14</v>
      </c>
      <c r="D28" s="63" t="s">
        <v>18</v>
      </c>
      <c r="E28" s="64" t="b">
        <v>1</v>
      </c>
      <c r="F28" s="64" t="b">
        <v>1</v>
      </c>
      <c r="G28" s="64" t="b">
        <v>1</v>
      </c>
      <c r="H28" s="64" t="b">
        <v>1</v>
      </c>
      <c r="I28" s="64" t="b">
        <v>1</v>
      </c>
      <c r="J28" s="76"/>
      <c r="K28" s="76"/>
      <c r="L28" s="76"/>
      <c r="M28" s="76"/>
    </row>
    <row r="29" customHeight="1" spans="1:13">
      <c r="A29" s="56">
        <v>0</v>
      </c>
      <c r="B29" s="57" t="s">
        <v>41</v>
      </c>
      <c r="C29" s="65" t="s">
        <v>14</v>
      </c>
      <c r="D29" s="63" t="s">
        <v>18</v>
      </c>
      <c r="E29" s="64" t="b">
        <v>1</v>
      </c>
      <c r="F29" s="64" t="b">
        <v>1</v>
      </c>
      <c r="G29" s="64" t="b">
        <v>1</v>
      </c>
      <c r="H29" s="64" t="b">
        <v>1</v>
      </c>
      <c r="I29" s="64" t="b">
        <v>1</v>
      </c>
      <c r="J29" s="76"/>
      <c r="K29" s="76"/>
      <c r="L29" s="76"/>
      <c r="M29" s="76"/>
    </row>
    <row r="30" customHeight="1" spans="1:13">
      <c r="A30" s="56">
        <v>0</v>
      </c>
      <c r="B30" s="57" t="s">
        <v>42</v>
      </c>
      <c r="C30" s="65" t="s">
        <v>14</v>
      </c>
      <c r="D30" s="63" t="s">
        <v>18</v>
      </c>
      <c r="E30" s="64" t="b">
        <v>1</v>
      </c>
      <c r="F30" s="64" t="b">
        <v>1</v>
      </c>
      <c r="G30" s="64" t="b">
        <v>1</v>
      </c>
      <c r="H30" s="64" t="b">
        <v>1</v>
      </c>
      <c r="I30" s="64" t="b">
        <v>1</v>
      </c>
      <c r="J30" s="76"/>
      <c r="K30" s="76"/>
      <c r="L30" s="76"/>
      <c r="M30" s="76"/>
    </row>
    <row r="31" customHeight="1" spans="1:13">
      <c r="A31" s="56">
        <v>0</v>
      </c>
      <c r="B31" s="57" t="s">
        <v>43</v>
      </c>
      <c r="C31" s="65" t="s">
        <v>14</v>
      </c>
      <c r="D31" s="63" t="s">
        <v>18</v>
      </c>
      <c r="E31" s="64" t="b">
        <v>1</v>
      </c>
      <c r="F31" s="64" t="b">
        <v>1</v>
      </c>
      <c r="G31" s="64" t="b">
        <v>1</v>
      </c>
      <c r="H31" s="64" t="b">
        <v>1</v>
      </c>
      <c r="I31" s="64" t="b">
        <v>1</v>
      </c>
      <c r="J31" s="76"/>
      <c r="K31" s="76"/>
      <c r="L31" s="76"/>
      <c r="M31" s="76"/>
    </row>
    <row r="32" customHeight="1" spans="1:13">
      <c r="A32" s="56">
        <v>0</v>
      </c>
      <c r="B32" s="57" t="s">
        <v>44</v>
      </c>
      <c r="C32" s="65" t="s">
        <v>14</v>
      </c>
      <c r="D32" s="63" t="s">
        <v>18</v>
      </c>
      <c r="E32" s="64" t="b">
        <v>1</v>
      </c>
      <c r="F32" s="64" t="b">
        <v>1</v>
      </c>
      <c r="G32" s="64" t="b">
        <v>1</v>
      </c>
      <c r="H32" s="64" t="b">
        <v>1</v>
      </c>
      <c r="I32" s="64" t="b">
        <v>1</v>
      </c>
      <c r="J32" s="76"/>
      <c r="K32" s="76"/>
      <c r="L32" s="76"/>
      <c r="M32" s="76"/>
    </row>
    <row r="33" customHeight="1" spans="1:13">
      <c r="A33" s="56">
        <v>0</v>
      </c>
      <c r="B33" s="57" t="s">
        <v>45</v>
      </c>
      <c r="C33" s="65" t="s">
        <v>14</v>
      </c>
      <c r="D33" s="63" t="s">
        <v>18</v>
      </c>
      <c r="E33" s="64" t="b">
        <v>1</v>
      </c>
      <c r="F33" s="64" t="b">
        <v>1</v>
      </c>
      <c r="G33" s="64" t="b">
        <v>1</v>
      </c>
      <c r="H33" s="64" t="b">
        <v>1</v>
      </c>
      <c r="I33" s="64" t="b">
        <v>1</v>
      </c>
      <c r="J33" s="76"/>
      <c r="K33" s="76"/>
      <c r="L33" s="76"/>
      <c r="M33" s="76"/>
    </row>
    <row r="34" customHeight="1" spans="1:13">
      <c r="A34" s="56">
        <v>0</v>
      </c>
      <c r="B34" s="57" t="s">
        <v>46</v>
      </c>
      <c r="C34" s="65" t="s">
        <v>14</v>
      </c>
      <c r="D34" s="63" t="s">
        <v>18</v>
      </c>
      <c r="E34" s="64" t="b">
        <v>1</v>
      </c>
      <c r="F34" s="64" t="b">
        <v>1</v>
      </c>
      <c r="G34" s="64" t="b">
        <v>1</v>
      </c>
      <c r="H34" s="64" t="b">
        <v>1</v>
      </c>
      <c r="I34" s="64" t="b">
        <v>1</v>
      </c>
      <c r="J34" s="76"/>
      <c r="K34" s="76"/>
      <c r="L34" s="76"/>
      <c r="M34" s="76"/>
    </row>
    <row r="35" customHeight="1" spans="1:13">
      <c r="A35" s="56">
        <v>0</v>
      </c>
      <c r="B35" s="57" t="s">
        <v>47</v>
      </c>
      <c r="C35" s="65" t="s">
        <v>14</v>
      </c>
      <c r="D35" s="63" t="s">
        <v>18</v>
      </c>
      <c r="E35" s="64" t="b">
        <v>1</v>
      </c>
      <c r="F35" s="64" t="b">
        <v>1</v>
      </c>
      <c r="G35" s="64" t="b">
        <v>1</v>
      </c>
      <c r="H35" s="64" t="b">
        <v>1</v>
      </c>
      <c r="I35" s="64" t="b">
        <v>1</v>
      </c>
      <c r="J35" s="76"/>
      <c r="K35" s="76"/>
      <c r="L35" s="76"/>
      <c r="M35" s="76"/>
    </row>
    <row r="36" customHeight="1" spans="1:13">
      <c r="A36" s="56">
        <v>0</v>
      </c>
      <c r="B36" s="57" t="s">
        <v>48</v>
      </c>
      <c r="C36" s="65" t="s">
        <v>14</v>
      </c>
      <c r="D36" s="63" t="s">
        <v>18</v>
      </c>
      <c r="E36" s="64" t="b">
        <v>1</v>
      </c>
      <c r="F36" s="64" t="b">
        <v>1</v>
      </c>
      <c r="G36" s="64" t="b">
        <v>1</v>
      </c>
      <c r="H36" s="64" t="b">
        <v>1</v>
      </c>
      <c r="I36" s="64" t="b">
        <v>1</v>
      </c>
      <c r="J36" s="76"/>
      <c r="K36" s="76"/>
      <c r="L36" s="76"/>
      <c r="M36" s="76"/>
    </row>
    <row r="37" customHeight="1" spans="1:13">
      <c r="A37" s="56">
        <v>0</v>
      </c>
      <c r="B37" s="57" t="s">
        <v>49</v>
      </c>
      <c r="C37" s="65" t="s">
        <v>14</v>
      </c>
      <c r="D37" s="63" t="s">
        <v>18</v>
      </c>
      <c r="E37" s="64" t="b">
        <v>1</v>
      </c>
      <c r="F37" s="64" t="b">
        <v>1</v>
      </c>
      <c r="G37" s="64" t="b">
        <v>1</v>
      </c>
      <c r="H37" s="64" t="b">
        <v>1</v>
      </c>
      <c r="I37" s="64" t="b">
        <v>1</v>
      </c>
      <c r="J37" s="76"/>
      <c r="K37" s="76"/>
      <c r="L37" s="76"/>
      <c r="M37" s="76"/>
    </row>
    <row r="38" customHeight="1" spans="1:13">
      <c r="A38" s="56">
        <v>0</v>
      </c>
      <c r="B38" s="57" t="s">
        <v>50</v>
      </c>
      <c r="C38" s="65" t="s">
        <v>14</v>
      </c>
      <c r="D38" s="63" t="s">
        <v>18</v>
      </c>
      <c r="E38" s="64" t="b">
        <v>1</v>
      </c>
      <c r="F38" s="64" t="b">
        <v>1</v>
      </c>
      <c r="G38" s="64" t="b">
        <v>1</v>
      </c>
      <c r="H38" s="64" t="b">
        <v>1</v>
      </c>
      <c r="I38" s="64" t="b">
        <v>1</v>
      </c>
      <c r="J38" s="76"/>
      <c r="K38" s="76"/>
      <c r="L38" s="76"/>
      <c r="M38" s="76"/>
    </row>
    <row r="39" customHeight="1" spans="1:13">
      <c r="A39" s="56">
        <v>0</v>
      </c>
      <c r="B39" s="57" t="s">
        <v>51</v>
      </c>
      <c r="C39" s="65" t="s">
        <v>14</v>
      </c>
      <c r="D39" s="63" t="s">
        <v>18</v>
      </c>
      <c r="E39" s="64" t="b">
        <v>1</v>
      </c>
      <c r="F39" s="64" t="b">
        <v>1</v>
      </c>
      <c r="G39" s="64" t="b">
        <v>1</v>
      </c>
      <c r="H39" s="64" t="b">
        <v>1</v>
      </c>
      <c r="I39" s="64" t="b">
        <v>1</v>
      </c>
      <c r="J39" s="76"/>
      <c r="K39" s="76"/>
      <c r="L39" s="76"/>
      <c r="M39" s="76"/>
    </row>
    <row r="40" customHeight="1" spans="1:13">
      <c r="A40" s="56">
        <v>0</v>
      </c>
      <c r="B40" s="57" t="s">
        <v>52</v>
      </c>
      <c r="C40" s="65" t="s">
        <v>14</v>
      </c>
      <c r="D40" s="63" t="s">
        <v>18</v>
      </c>
      <c r="E40" s="64" t="b">
        <v>1</v>
      </c>
      <c r="F40" s="64" t="b">
        <v>1</v>
      </c>
      <c r="G40" s="64" t="b">
        <v>1</v>
      </c>
      <c r="H40" s="64" t="b">
        <v>1</v>
      </c>
      <c r="I40" s="64" t="b">
        <v>1</v>
      </c>
      <c r="J40" s="76"/>
      <c r="K40" s="76"/>
      <c r="L40" s="76"/>
      <c r="M40" s="76"/>
    </row>
    <row r="41" customHeight="1" spans="1:13">
      <c r="A41" s="56">
        <v>0</v>
      </c>
      <c r="B41" s="57" t="s">
        <v>53</v>
      </c>
      <c r="C41" s="65" t="s">
        <v>14</v>
      </c>
      <c r="D41" s="63" t="s">
        <v>18</v>
      </c>
      <c r="E41" s="64" t="b">
        <v>1</v>
      </c>
      <c r="F41" s="64" t="b">
        <v>1</v>
      </c>
      <c r="G41" s="64" t="b">
        <v>1</v>
      </c>
      <c r="H41" s="64" t="b">
        <v>1</v>
      </c>
      <c r="I41" s="64" t="b">
        <v>1</v>
      </c>
      <c r="J41" s="76"/>
      <c r="K41" s="76"/>
      <c r="L41" s="76"/>
      <c r="M41" s="76"/>
    </row>
    <row r="42" customHeight="1" spans="1:13">
      <c r="A42" s="56">
        <v>0</v>
      </c>
      <c r="B42" s="67" t="s">
        <v>54</v>
      </c>
      <c r="C42" s="65" t="s">
        <v>14</v>
      </c>
      <c r="D42" s="63" t="s">
        <v>18</v>
      </c>
      <c r="E42" s="64" t="b">
        <v>1</v>
      </c>
      <c r="F42" s="64" t="b">
        <v>1</v>
      </c>
      <c r="G42" s="64" t="b">
        <v>1</v>
      </c>
      <c r="H42" s="64" t="b">
        <v>1</v>
      </c>
      <c r="I42" s="64" t="b">
        <v>1</v>
      </c>
      <c r="J42" s="76"/>
      <c r="K42" s="76"/>
      <c r="L42" s="76"/>
      <c r="M42" s="76"/>
    </row>
    <row r="43" customHeight="1" spans="1:13">
      <c r="A43" s="56">
        <v>0</v>
      </c>
      <c r="B43" s="57" t="s">
        <v>55</v>
      </c>
      <c r="C43" s="65" t="s">
        <v>14</v>
      </c>
      <c r="D43" s="63" t="s">
        <v>18</v>
      </c>
      <c r="E43" s="64" t="b">
        <v>1</v>
      </c>
      <c r="F43" s="64" t="b">
        <v>1</v>
      </c>
      <c r="G43" s="64" t="b">
        <v>1</v>
      </c>
      <c r="H43" s="64" t="b">
        <v>1</v>
      </c>
      <c r="I43" s="64" t="b">
        <v>1</v>
      </c>
      <c r="J43" s="76"/>
      <c r="K43" s="76"/>
      <c r="L43" s="76"/>
      <c r="M43" s="76"/>
    </row>
    <row r="44" customHeight="1" spans="1:13">
      <c r="A44" s="56">
        <v>0</v>
      </c>
      <c r="B44" s="57" t="s">
        <v>56</v>
      </c>
      <c r="C44" s="65" t="s">
        <v>14</v>
      </c>
      <c r="D44" s="63" t="s">
        <v>18</v>
      </c>
      <c r="E44" s="64" t="b">
        <v>1</v>
      </c>
      <c r="F44" s="64" t="b">
        <v>1</v>
      </c>
      <c r="G44" s="64" t="b">
        <v>1</v>
      </c>
      <c r="H44" s="64" t="b">
        <v>1</v>
      </c>
      <c r="I44" s="64" t="b">
        <v>1</v>
      </c>
      <c r="J44" s="76"/>
      <c r="K44" s="76"/>
      <c r="L44" s="76"/>
      <c r="M44" s="76"/>
    </row>
    <row r="45" customHeight="1" spans="1:13">
      <c r="A45" s="56">
        <v>0</v>
      </c>
      <c r="B45" s="57" t="s">
        <v>57</v>
      </c>
      <c r="C45" s="62" t="s">
        <v>14</v>
      </c>
      <c r="D45" s="63" t="s">
        <v>18</v>
      </c>
      <c r="E45" s="64" t="b">
        <v>1</v>
      </c>
      <c r="F45" s="64" t="b">
        <v>1</v>
      </c>
      <c r="G45" s="64" t="b">
        <v>1</v>
      </c>
      <c r="H45" s="64" t="b">
        <v>1</v>
      </c>
      <c r="I45" s="64" t="b">
        <v>1</v>
      </c>
      <c r="J45" s="76"/>
      <c r="K45" s="76"/>
      <c r="L45" s="76"/>
      <c r="M45" s="76"/>
    </row>
    <row r="46" customHeight="1" spans="1:13">
      <c r="A46" s="56">
        <v>0</v>
      </c>
      <c r="B46" s="57" t="s">
        <v>58</v>
      </c>
      <c r="C46" s="65" t="s">
        <v>14</v>
      </c>
      <c r="D46" s="63" t="s">
        <v>18</v>
      </c>
      <c r="E46" s="64" t="b">
        <v>1</v>
      </c>
      <c r="F46" s="64" t="b">
        <v>1</v>
      </c>
      <c r="G46" s="64" t="b">
        <v>1</v>
      </c>
      <c r="H46" s="64" t="b">
        <v>1</v>
      </c>
      <c r="I46" s="64" t="b">
        <v>1</v>
      </c>
      <c r="J46" s="76"/>
      <c r="K46" s="76"/>
      <c r="L46" s="76"/>
      <c r="M46" s="76"/>
    </row>
    <row r="47" customHeight="1" spans="1:13">
      <c r="A47" s="56">
        <v>0</v>
      </c>
      <c r="B47" s="57" t="s">
        <v>59</v>
      </c>
      <c r="C47" s="62" t="s">
        <v>14</v>
      </c>
      <c r="D47" s="63" t="s">
        <v>18</v>
      </c>
      <c r="E47" s="64" t="b">
        <v>1</v>
      </c>
      <c r="F47" s="64" t="b">
        <v>1</v>
      </c>
      <c r="G47" s="64" t="b">
        <v>1</v>
      </c>
      <c r="H47" s="64" t="b">
        <v>1</v>
      </c>
      <c r="I47" s="64" t="b">
        <v>1</v>
      </c>
      <c r="J47" s="76"/>
      <c r="K47" s="76"/>
      <c r="L47" s="76"/>
      <c r="M47" s="76"/>
    </row>
    <row r="48" customHeight="1" spans="1:13">
      <c r="A48" s="56">
        <v>0</v>
      </c>
      <c r="B48" s="57"/>
      <c r="C48" s="62"/>
      <c r="D48" s="63"/>
      <c r="E48" s="64"/>
      <c r="F48" s="64"/>
      <c r="G48" s="64"/>
      <c r="H48" s="64"/>
      <c r="I48" s="64"/>
      <c r="J48" s="76"/>
      <c r="K48" s="76"/>
      <c r="L48" s="76"/>
      <c r="M48" s="76"/>
    </row>
    <row r="49" customHeight="1" spans="1:13">
      <c r="A49" s="56">
        <v>0</v>
      </c>
      <c r="B49" s="68" t="s">
        <v>60</v>
      </c>
      <c r="C49" s="69" t="s">
        <v>14</v>
      </c>
      <c r="D49" s="63" t="s">
        <v>18</v>
      </c>
      <c r="E49" s="64" t="b">
        <v>0</v>
      </c>
      <c r="F49" s="64" t="b">
        <v>1</v>
      </c>
      <c r="G49" s="64" t="b">
        <v>0</v>
      </c>
      <c r="H49" s="64" t="b">
        <v>0</v>
      </c>
      <c r="I49" s="64" t="b">
        <v>0</v>
      </c>
      <c r="J49" s="76" t="s">
        <v>61</v>
      </c>
      <c r="K49" s="76"/>
      <c r="L49" s="76"/>
      <c r="M49" s="76" t="s">
        <v>62</v>
      </c>
    </row>
    <row r="50" customHeight="1" spans="1:13">
      <c r="A50" s="56">
        <v>0</v>
      </c>
      <c r="B50" s="57" t="s">
        <v>63</v>
      </c>
      <c r="C50" s="69" t="s">
        <v>14</v>
      </c>
      <c r="D50" s="63" t="s">
        <v>18</v>
      </c>
      <c r="E50" s="64" t="b">
        <v>0</v>
      </c>
      <c r="F50" s="64" t="b">
        <v>1</v>
      </c>
      <c r="G50" s="64" t="b">
        <v>0</v>
      </c>
      <c r="H50" s="64" t="b">
        <v>0</v>
      </c>
      <c r="I50" s="64" t="b">
        <v>0</v>
      </c>
      <c r="J50" s="76" t="s">
        <v>61</v>
      </c>
      <c r="K50" s="76"/>
      <c r="L50" s="76"/>
      <c r="M50" s="76" t="s">
        <v>62</v>
      </c>
    </row>
    <row r="51" customHeight="1" spans="1:13">
      <c r="A51" s="56">
        <v>0</v>
      </c>
      <c r="B51" s="57" t="s">
        <v>64</v>
      </c>
      <c r="C51" s="69" t="s">
        <v>14</v>
      </c>
      <c r="D51" s="63" t="s">
        <v>18</v>
      </c>
      <c r="E51" s="64" t="b">
        <v>0</v>
      </c>
      <c r="F51" s="64" t="b">
        <v>1</v>
      </c>
      <c r="G51" s="64" t="b">
        <v>0</v>
      </c>
      <c r="H51" s="64" t="b">
        <v>0</v>
      </c>
      <c r="I51" s="64" t="b">
        <v>0</v>
      </c>
      <c r="J51" s="76" t="s">
        <v>61</v>
      </c>
      <c r="K51" s="74"/>
      <c r="L51" s="75"/>
      <c r="M51" s="76" t="s">
        <v>62</v>
      </c>
    </row>
    <row r="52" customHeight="1" spans="1:13">
      <c r="A52" s="56">
        <v>0</v>
      </c>
      <c r="B52" s="57" t="s">
        <v>65</v>
      </c>
      <c r="C52" s="69" t="s">
        <v>14</v>
      </c>
      <c r="D52" s="63" t="s">
        <v>18</v>
      </c>
      <c r="E52" s="64" t="b">
        <v>0</v>
      </c>
      <c r="F52" s="64" t="b">
        <v>1</v>
      </c>
      <c r="G52" s="64" t="b">
        <v>0</v>
      </c>
      <c r="H52" s="64" t="b">
        <v>0</v>
      </c>
      <c r="I52" s="64" t="b">
        <v>0</v>
      </c>
      <c r="J52" s="76" t="s">
        <v>61</v>
      </c>
      <c r="K52" s="75"/>
      <c r="L52" s="74"/>
      <c r="M52" s="76" t="s">
        <v>62</v>
      </c>
    </row>
    <row r="53" customHeight="1" spans="1:13">
      <c r="A53" s="56">
        <v>0</v>
      </c>
      <c r="B53" s="57"/>
      <c r="C53" s="69"/>
      <c r="D53" s="63"/>
      <c r="E53" s="64"/>
      <c r="F53" s="64"/>
      <c r="G53" s="64"/>
      <c r="H53" s="64"/>
      <c r="I53" s="64"/>
      <c r="J53" s="74"/>
      <c r="K53" s="75"/>
      <c r="L53" s="74"/>
      <c r="M53" s="75"/>
    </row>
    <row r="54" customHeight="1" spans="1:13">
      <c r="A54" s="56">
        <v>0</v>
      </c>
      <c r="B54" s="57" t="s">
        <v>66</v>
      </c>
      <c r="C54" s="69" t="s">
        <v>14</v>
      </c>
      <c r="D54" s="63" t="s">
        <v>18</v>
      </c>
      <c r="E54" s="64" t="b">
        <v>1</v>
      </c>
      <c r="F54" s="64" t="b">
        <v>1</v>
      </c>
      <c r="G54" s="64" t="b">
        <v>1</v>
      </c>
      <c r="H54" s="64" t="b">
        <v>1</v>
      </c>
      <c r="I54" s="64" t="b">
        <v>0</v>
      </c>
      <c r="J54" s="76" t="s">
        <v>61</v>
      </c>
      <c r="K54" s="75"/>
      <c r="L54" s="74"/>
      <c r="M54" s="76" t="s">
        <v>62</v>
      </c>
    </row>
    <row r="55" customHeight="1" spans="1:13">
      <c r="A55" s="56">
        <v>0</v>
      </c>
      <c r="B55" s="57" t="s">
        <v>67</v>
      </c>
      <c r="C55" s="69" t="s">
        <v>14</v>
      </c>
      <c r="D55" s="63" t="s">
        <v>18</v>
      </c>
      <c r="E55" s="64" t="b">
        <v>0</v>
      </c>
      <c r="F55" s="64" t="b">
        <v>0</v>
      </c>
      <c r="G55" s="64" t="b">
        <v>0</v>
      </c>
      <c r="H55" s="64" t="b">
        <v>1</v>
      </c>
      <c r="I55" s="64" t="b">
        <v>0</v>
      </c>
      <c r="J55" s="76" t="s">
        <v>61</v>
      </c>
      <c r="K55" s="75"/>
      <c r="L55" s="75" t="s">
        <v>68</v>
      </c>
      <c r="M55" s="74"/>
    </row>
    <row r="56" customHeight="1" spans="1:13">
      <c r="A56" s="56">
        <v>0</v>
      </c>
      <c r="B56" s="57" t="s">
        <v>69</v>
      </c>
      <c r="C56" s="69" t="s">
        <v>14</v>
      </c>
      <c r="D56" s="63" t="s">
        <v>18</v>
      </c>
      <c r="E56" s="64" t="b">
        <v>1</v>
      </c>
      <c r="F56" s="64" t="b">
        <v>1</v>
      </c>
      <c r="G56" s="64" t="b">
        <v>1</v>
      </c>
      <c r="H56" s="64" t="b">
        <v>0</v>
      </c>
      <c r="I56" s="64" t="b">
        <v>0</v>
      </c>
      <c r="J56" s="76" t="s">
        <v>61</v>
      </c>
      <c r="K56" s="75"/>
      <c r="L56" s="74"/>
      <c r="M56" s="75"/>
    </row>
    <row r="57" customHeight="1" spans="1:13">
      <c r="A57" s="56">
        <v>0</v>
      </c>
      <c r="B57" s="57" t="s">
        <v>70</v>
      </c>
      <c r="C57" s="69" t="s">
        <v>14</v>
      </c>
      <c r="D57" s="63" t="s">
        <v>18</v>
      </c>
      <c r="E57" s="64" t="b">
        <v>1</v>
      </c>
      <c r="F57" s="64" t="b">
        <v>0</v>
      </c>
      <c r="G57" s="64" t="b">
        <v>0</v>
      </c>
      <c r="H57" s="64" t="b">
        <v>0</v>
      </c>
      <c r="I57" s="64" t="b">
        <v>0</v>
      </c>
      <c r="J57" s="76" t="s">
        <v>61</v>
      </c>
      <c r="K57" s="75"/>
      <c r="L57" s="74"/>
      <c r="M57" s="75"/>
    </row>
    <row r="58" customHeight="1" spans="1:13">
      <c r="A58" s="56">
        <v>0</v>
      </c>
      <c r="B58" s="70" t="s">
        <v>71</v>
      </c>
      <c r="C58" s="69" t="s">
        <v>14</v>
      </c>
      <c r="D58" s="63" t="s">
        <v>18</v>
      </c>
      <c r="E58" s="64" t="b">
        <v>0</v>
      </c>
      <c r="F58" s="64" t="b">
        <v>0</v>
      </c>
      <c r="G58" s="64" t="b">
        <v>0</v>
      </c>
      <c r="H58" s="64" t="b">
        <v>1</v>
      </c>
      <c r="I58" s="64" t="b">
        <v>0</v>
      </c>
      <c r="J58" s="76" t="s">
        <v>61</v>
      </c>
      <c r="K58" s="77"/>
      <c r="L58" s="77" t="s">
        <v>68</v>
      </c>
      <c r="M58" s="77"/>
    </row>
    <row r="59" customHeight="1" spans="1:13">
      <c r="A59" s="71">
        <v>0</v>
      </c>
      <c r="B59" s="72"/>
      <c r="C59" s="69"/>
      <c r="D59" s="63"/>
      <c r="E59" s="64"/>
      <c r="F59" s="64"/>
      <c r="G59" s="64"/>
      <c r="H59" s="64"/>
      <c r="I59" s="64"/>
      <c r="J59" s="76"/>
      <c r="K59" s="43"/>
      <c r="L59" s="43"/>
      <c r="M59" s="43"/>
    </row>
  </sheetData>
  <dataValidations count="3">
    <dataValidation type="list" allowBlank="1" showErrorMessage="1" sqref="I2 H36 G2:G3 G4:G6 G7:G8 G9:G25 G45:G47 H2:H3 H4:H6 H37:H40 H41:H47 I3:I4 I5:I6 I30:I32 I36:I40 I41:I47 H33:I35 H9:I25 H7:I8">
      <formula1>"FALSE,TRUE"</formula1>
    </dataValidation>
    <dataValidation type="list" allowBlank="1" showErrorMessage="1" sqref="C2:C8 C9:C19 C20:C25 C26:C31 C32:C33 C34:C49 C50:C59">
      <formula1>"常勤,非常勤"</formula1>
    </dataValidation>
    <dataValidation type="list" allowBlank="1" showErrorMessage="1" sqref="E2:E6 E7:E8 E9:E25 E45:E47 E48:E49 E50:E59 F2:F6 F7:F8 F9:F25 F45:F49 F50:F59 G50:G59 H50:H59 I50:I59 G48:I49 E26:I29 E30:H32 E33:G44">
      <formula1>"TRUE,FALSE"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55"/>
  <sheetViews>
    <sheetView topLeftCell="A34" workbookViewId="0">
      <selection activeCell="A1" sqref="A1"/>
    </sheetView>
  </sheetViews>
  <sheetFormatPr defaultColWidth="12.6272727272727" defaultRowHeight="15.75" customHeight="1" outlineLevelCol="6"/>
  <sheetData>
    <row r="1" customHeight="1" spans="1:5">
      <c r="A1" s="52" t="s">
        <v>72</v>
      </c>
      <c r="B1" s="52" t="s">
        <v>73</v>
      </c>
      <c r="C1" s="52" t="s">
        <v>74</v>
      </c>
      <c r="D1" s="52" t="s">
        <v>75</v>
      </c>
      <c r="E1" s="52" t="s">
        <v>76</v>
      </c>
    </row>
    <row r="2" customHeight="1" spans="1:5">
      <c r="A2" s="53">
        <v>45901</v>
      </c>
      <c r="B2" s="54">
        <v>1</v>
      </c>
      <c r="C2" s="55">
        <v>3</v>
      </c>
      <c r="D2" s="55">
        <v>1</v>
      </c>
      <c r="E2" s="55">
        <v>1</v>
      </c>
    </row>
    <row r="3" customHeight="1" spans="1:5">
      <c r="A3" s="53">
        <v>45902</v>
      </c>
      <c r="B3" s="54">
        <v>1</v>
      </c>
      <c r="C3" s="55">
        <v>3</v>
      </c>
      <c r="D3" s="55">
        <v>1</v>
      </c>
      <c r="E3" s="55">
        <v>1</v>
      </c>
    </row>
    <row r="4" customHeight="1" spans="1:5">
      <c r="A4" s="53">
        <v>45903</v>
      </c>
      <c r="B4" s="54">
        <v>1</v>
      </c>
      <c r="C4" s="55">
        <v>3</v>
      </c>
      <c r="D4" s="55">
        <v>1</v>
      </c>
      <c r="E4" s="55">
        <v>1</v>
      </c>
    </row>
    <row r="5" customHeight="1" spans="1:5">
      <c r="A5" s="53">
        <v>45904</v>
      </c>
      <c r="B5" s="54">
        <v>1</v>
      </c>
      <c r="C5" s="55">
        <v>3</v>
      </c>
      <c r="D5" s="55">
        <v>1</v>
      </c>
      <c r="E5" s="55">
        <v>1</v>
      </c>
    </row>
    <row r="6" customHeight="1" spans="1:5">
      <c r="A6" s="53">
        <v>45905</v>
      </c>
      <c r="B6" s="54">
        <v>1</v>
      </c>
      <c r="C6" s="55">
        <v>3</v>
      </c>
      <c r="D6" s="55">
        <v>1</v>
      </c>
      <c r="E6" s="55">
        <v>1</v>
      </c>
    </row>
    <row r="7" customHeight="1" spans="1:5">
      <c r="A7" s="53">
        <v>45906</v>
      </c>
      <c r="B7" s="54">
        <v>1</v>
      </c>
      <c r="C7" s="55">
        <v>3</v>
      </c>
      <c r="D7" s="55">
        <v>1</v>
      </c>
      <c r="E7" s="55">
        <v>1</v>
      </c>
    </row>
    <row r="8" customHeight="1" spans="1:5">
      <c r="A8" s="53">
        <v>45907</v>
      </c>
      <c r="B8" s="54">
        <v>1</v>
      </c>
      <c r="C8" s="55">
        <v>3</v>
      </c>
      <c r="D8" s="55">
        <v>1</v>
      </c>
      <c r="E8" s="55">
        <v>1</v>
      </c>
    </row>
    <row r="9" customHeight="1" spans="1:5">
      <c r="A9" s="53">
        <v>45908</v>
      </c>
      <c r="B9" s="54">
        <v>1</v>
      </c>
      <c r="C9" s="55">
        <v>3</v>
      </c>
      <c r="D9" s="55">
        <v>1</v>
      </c>
      <c r="E9" s="55">
        <v>1</v>
      </c>
    </row>
    <row r="10" customHeight="1" spans="1:7">
      <c r="A10" s="53">
        <v>45909</v>
      </c>
      <c r="B10" s="54">
        <v>1</v>
      </c>
      <c r="C10" s="55">
        <v>3</v>
      </c>
      <c r="D10" s="55">
        <v>1</v>
      </c>
      <c r="E10" s="55">
        <v>1</v>
      </c>
      <c r="G10" s="14"/>
    </row>
    <row r="11" customHeight="1" spans="1:5">
      <c r="A11" s="53">
        <v>45910</v>
      </c>
      <c r="B11" s="54">
        <v>1</v>
      </c>
      <c r="C11" s="55">
        <v>3</v>
      </c>
      <c r="D11" s="55">
        <v>1</v>
      </c>
      <c r="E11" s="55">
        <v>1</v>
      </c>
    </row>
    <row r="12" customHeight="1" spans="1:5">
      <c r="A12" s="53">
        <v>45911</v>
      </c>
      <c r="B12" s="54">
        <v>1</v>
      </c>
      <c r="C12" s="55">
        <v>3</v>
      </c>
      <c r="D12" s="55">
        <v>1</v>
      </c>
      <c r="E12" s="55">
        <v>1</v>
      </c>
    </row>
    <row r="13" customHeight="1" spans="1:5">
      <c r="A13" s="53">
        <v>45912</v>
      </c>
      <c r="B13" s="54">
        <v>1</v>
      </c>
      <c r="C13" s="55">
        <v>3</v>
      </c>
      <c r="D13" s="55">
        <v>1</v>
      </c>
      <c r="E13" s="55">
        <v>1</v>
      </c>
    </row>
    <row r="14" customHeight="1" spans="1:5">
      <c r="A14" s="53">
        <v>45913</v>
      </c>
      <c r="B14" s="54">
        <v>1</v>
      </c>
      <c r="C14" s="55">
        <v>3</v>
      </c>
      <c r="D14" s="55">
        <v>1</v>
      </c>
      <c r="E14" s="55">
        <v>1</v>
      </c>
    </row>
    <row r="15" customHeight="1" spans="1:5">
      <c r="A15" s="53">
        <v>45914</v>
      </c>
      <c r="B15" s="54">
        <v>1</v>
      </c>
      <c r="C15" s="55">
        <v>3</v>
      </c>
      <c r="D15" s="55">
        <v>1</v>
      </c>
      <c r="E15" s="55">
        <v>1</v>
      </c>
    </row>
    <row r="16" customHeight="1" spans="1:5">
      <c r="A16" s="53">
        <v>45915</v>
      </c>
      <c r="B16" s="54">
        <v>1</v>
      </c>
      <c r="C16" s="55">
        <v>3</v>
      </c>
      <c r="D16" s="55">
        <v>1</v>
      </c>
      <c r="E16" s="55">
        <v>1</v>
      </c>
    </row>
    <row r="17" customHeight="1" spans="1:5">
      <c r="A17" s="53">
        <v>45916</v>
      </c>
      <c r="B17" s="54">
        <v>1</v>
      </c>
      <c r="C17" s="55">
        <v>3</v>
      </c>
      <c r="D17" s="55">
        <v>1</v>
      </c>
      <c r="E17" s="55">
        <v>1</v>
      </c>
    </row>
    <row r="18" customHeight="1" spans="1:5">
      <c r="A18" s="53">
        <v>45917</v>
      </c>
      <c r="B18" s="54">
        <v>1</v>
      </c>
      <c r="C18" s="55">
        <v>3</v>
      </c>
      <c r="D18" s="55">
        <v>1</v>
      </c>
      <c r="E18" s="55">
        <v>1</v>
      </c>
    </row>
    <row r="19" customHeight="1" spans="1:5">
      <c r="A19" s="53">
        <v>45918</v>
      </c>
      <c r="B19" s="54">
        <v>1</v>
      </c>
      <c r="C19" s="55">
        <v>3</v>
      </c>
      <c r="D19" s="55">
        <v>1</v>
      </c>
      <c r="E19" s="55">
        <v>1</v>
      </c>
    </row>
    <row r="20" customHeight="1" spans="1:5">
      <c r="A20" s="53">
        <v>45919</v>
      </c>
      <c r="B20" s="54">
        <v>1</v>
      </c>
      <c r="C20" s="55">
        <v>3</v>
      </c>
      <c r="D20" s="55">
        <v>1</v>
      </c>
      <c r="E20" s="55">
        <v>1</v>
      </c>
    </row>
    <row r="21" customHeight="1" spans="1:5">
      <c r="A21" s="53">
        <v>45920</v>
      </c>
      <c r="B21" s="54">
        <v>1</v>
      </c>
      <c r="C21" s="55">
        <v>3</v>
      </c>
      <c r="D21" s="55">
        <v>1</v>
      </c>
      <c r="E21" s="55">
        <v>1</v>
      </c>
    </row>
    <row r="22" customHeight="1" spans="1:5">
      <c r="A22" s="53">
        <v>45921</v>
      </c>
      <c r="B22" s="54">
        <v>1</v>
      </c>
      <c r="C22" s="55">
        <v>3</v>
      </c>
      <c r="D22" s="55">
        <v>1</v>
      </c>
      <c r="E22" s="55">
        <v>1</v>
      </c>
    </row>
    <row r="23" customHeight="1" spans="1:5">
      <c r="A23" s="53">
        <v>45922</v>
      </c>
      <c r="B23" s="54">
        <v>1</v>
      </c>
      <c r="C23" s="55">
        <v>3</v>
      </c>
      <c r="D23" s="55">
        <v>1</v>
      </c>
      <c r="E23" s="55">
        <v>1</v>
      </c>
    </row>
    <row r="24" customHeight="1" spans="1:5">
      <c r="A24" s="53">
        <v>45923</v>
      </c>
      <c r="B24" s="54">
        <v>1</v>
      </c>
      <c r="C24" s="55">
        <v>3</v>
      </c>
      <c r="D24" s="55">
        <v>1</v>
      </c>
      <c r="E24" s="55">
        <v>1</v>
      </c>
    </row>
    <row r="25" customHeight="1" spans="1:5">
      <c r="A25" s="53">
        <v>45924</v>
      </c>
      <c r="B25" s="54">
        <v>1</v>
      </c>
      <c r="C25" s="55">
        <v>3</v>
      </c>
      <c r="D25" s="55">
        <v>1</v>
      </c>
      <c r="E25" s="55">
        <v>1</v>
      </c>
    </row>
    <row r="26" customHeight="1" spans="1:5">
      <c r="A26" s="53">
        <v>45925</v>
      </c>
      <c r="B26" s="54">
        <v>1</v>
      </c>
      <c r="C26" s="55">
        <v>3</v>
      </c>
      <c r="D26" s="55">
        <v>1</v>
      </c>
      <c r="E26" s="55">
        <v>1</v>
      </c>
    </row>
    <row r="27" customHeight="1" spans="1:5">
      <c r="A27" s="53">
        <v>45926</v>
      </c>
      <c r="B27" s="54">
        <v>1</v>
      </c>
      <c r="C27" s="55">
        <v>3</v>
      </c>
      <c r="D27" s="55">
        <v>1</v>
      </c>
      <c r="E27" s="55">
        <v>1</v>
      </c>
    </row>
    <row r="28" customHeight="1" spans="1:5">
      <c r="A28" s="53">
        <v>45927</v>
      </c>
      <c r="B28" s="54">
        <v>1</v>
      </c>
      <c r="C28" s="55">
        <v>3</v>
      </c>
      <c r="D28" s="55">
        <v>1</v>
      </c>
      <c r="E28" s="55">
        <v>1</v>
      </c>
    </row>
    <row r="29" customHeight="1" spans="1:5">
      <c r="A29" s="53">
        <v>45928</v>
      </c>
      <c r="B29" s="54">
        <v>1</v>
      </c>
      <c r="C29" s="55">
        <v>3</v>
      </c>
      <c r="D29" s="55">
        <v>1</v>
      </c>
      <c r="E29" s="55">
        <v>1</v>
      </c>
    </row>
    <row r="30" customHeight="1" spans="1:5">
      <c r="A30" s="53">
        <v>45929</v>
      </c>
      <c r="B30" s="54">
        <v>1</v>
      </c>
      <c r="C30" s="55">
        <v>3</v>
      </c>
      <c r="D30" s="55">
        <v>1</v>
      </c>
      <c r="E30" s="55">
        <v>1</v>
      </c>
    </row>
    <row r="31" customHeight="1" spans="1:5">
      <c r="A31" s="53">
        <v>45930</v>
      </c>
      <c r="B31" s="54">
        <v>1</v>
      </c>
      <c r="C31" s="55">
        <v>3</v>
      </c>
      <c r="D31" s="55">
        <v>1</v>
      </c>
      <c r="E31" s="55">
        <v>1</v>
      </c>
    </row>
    <row r="32" customHeight="1" spans="1:5">
      <c r="A32" s="53">
        <v>45931</v>
      </c>
      <c r="B32" s="54">
        <v>4</v>
      </c>
      <c r="C32" s="55">
        <v>7</v>
      </c>
      <c r="D32" s="55">
        <v>3</v>
      </c>
      <c r="E32" s="55">
        <v>7</v>
      </c>
    </row>
    <row r="33" customHeight="1" spans="1:5">
      <c r="A33" s="53">
        <v>45932</v>
      </c>
      <c r="B33" s="54">
        <v>4</v>
      </c>
      <c r="C33" s="55">
        <v>7</v>
      </c>
      <c r="D33" s="55">
        <v>3</v>
      </c>
      <c r="E33" s="55">
        <v>7</v>
      </c>
    </row>
    <row r="34" customHeight="1" spans="1:5">
      <c r="A34" s="53">
        <v>45933</v>
      </c>
      <c r="B34" s="54">
        <v>4</v>
      </c>
      <c r="C34" s="55">
        <v>7</v>
      </c>
      <c r="D34" s="55">
        <v>3</v>
      </c>
      <c r="E34" s="55">
        <v>7</v>
      </c>
    </row>
    <row r="35" customHeight="1" spans="1:5">
      <c r="A35" s="53">
        <v>45934</v>
      </c>
      <c r="B35" s="54">
        <v>4</v>
      </c>
      <c r="C35" s="55">
        <v>7</v>
      </c>
      <c r="D35" s="55">
        <v>3</v>
      </c>
      <c r="E35" s="55">
        <v>7</v>
      </c>
    </row>
    <row r="36" customHeight="1" spans="1:5">
      <c r="A36" s="53">
        <v>45935</v>
      </c>
      <c r="B36" s="54">
        <v>4</v>
      </c>
      <c r="C36" s="55">
        <v>7</v>
      </c>
      <c r="D36" s="55">
        <v>3</v>
      </c>
      <c r="E36" s="55">
        <v>7</v>
      </c>
    </row>
    <row r="37" customHeight="1" spans="1:5">
      <c r="A37" s="53">
        <v>45936</v>
      </c>
      <c r="B37" s="54">
        <v>4</v>
      </c>
      <c r="C37" s="55">
        <v>7</v>
      </c>
      <c r="D37" s="55">
        <v>3</v>
      </c>
      <c r="E37" s="55">
        <v>7</v>
      </c>
    </row>
    <row r="38" customHeight="1" spans="1:5">
      <c r="A38" s="53">
        <v>45937</v>
      </c>
      <c r="B38" s="54">
        <v>4</v>
      </c>
      <c r="C38" s="55">
        <v>7</v>
      </c>
      <c r="D38" s="55">
        <v>3</v>
      </c>
      <c r="E38" s="55">
        <v>7</v>
      </c>
    </row>
    <row r="39" customHeight="1" spans="1:5">
      <c r="A39" s="53">
        <v>45938</v>
      </c>
      <c r="B39" s="54">
        <v>4</v>
      </c>
      <c r="C39" s="55">
        <v>7</v>
      </c>
      <c r="D39" s="55">
        <v>3</v>
      </c>
      <c r="E39" s="55">
        <v>7</v>
      </c>
    </row>
    <row r="40" customHeight="1" spans="1:5">
      <c r="A40" s="53">
        <v>45939</v>
      </c>
      <c r="B40" s="54">
        <v>4</v>
      </c>
      <c r="C40" s="55">
        <v>7</v>
      </c>
      <c r="D40" s="55">
        <v>3</v>
      </c>
      <c r="E40" s="55">
        <v>7</v>
      </c>
    </row>
    <row r="41" customHeight="1" spans="1:5">
      <c r="A41" s="53">
        <v>45940</v>
      </c>
      <c r="B41" s="54">
        <v>4</v>
      </c>
      <c r="C41" s="55">
        <v>7</v>
      </c>
      <c r="D41" s="55">
        <v>3</v>
      </c>
      <c r="E41" s="55">
        <v>7</v>
      </c>
    </row>
    <row r="42" customHeight="1" spans="1:5">
      <c r="A42" s="53">
        <v>45941</v>
      </c>
      <c r="B42" s="54">
        <v>4</v>
      </c>
      <c r="C42" s="55">
        <v>7</v>
      </c>
      <c r="D42" s="55">
        <v>3</v>
      </c>
      <c r="E42" s="55">
        <v>7</v>
      </c>
    </row>
    <row r="43" customHeight="1" spans="1:5">
      <c r="A43" s="53">
        <v>45942</v>
      </c>
      <c r="B43" s="54">
        <v>4</v>
      </c>
      <c r="C43" s="55">
        <v>7</v>
      </c>
      <c r="D43" s="55">
        <v>3</v>
      </c>
      <c r="E43" s="55">
        <v>7</v>
      </c>
    </row>
    <row r="44" customHeight="1" spans="1:5">
      <c r="A44" s="53">
        <v>45943</v>
      </c>
      <c r="B44" s="54">
        <v>4</v>
      </c>
      <c r="C44" s="55">
        <v>7</v>
      </c>
      <c r="D44" s="55">
        <v>3</v>
      </c>
      <c r="E44" s="55">
        <v>7</v>
      </c>
    </row>
    <row r="45" customHeight="1" spans="1:5">
      <c r="A45" s="53">
        <v>45944</v>
      </c>
      <c r="B45" s="54">
        <v>4</v>
      </c>
      <c r="C45" s="55">
        <v>7</v>
      </c>
      <c r="D45" s="55">
        <v>3</v>
      </c>
      <c r="E45" s="55">
        <v>7</v>
      </c>
    </row>
    <row r="46" customHeight="1" spans="1:5">
      <c r="A46" s="53">
        <v>45945</v>
      </c>
      <c r="B46" s="54">
        <v>4</v>
      </c>
      <c r="C46" s="55">
        <v>7</v>
      </c>
      <c r="D46" s="55">
        <v>3</v>
      </c>
      <c r="E46" s="55">
        <v>7</v>
      </c>
    </row>
    <row r="47" customHeight="1" spans="1:5">
      <c r="A47" s="53">
        <v>45946</v>
      </c>
      <c r="B47" s="54">
        <v>4</v>
      </c>
      <c r="C47" s="55">
        <v>7</v>
      </c>
      <c r="D47" s="55">
        <v>3</v>
      </c>
      <c r="E47" s="55">
        <v>7</v>
      </c>
    </row>
    <row r="48" customHeight="1" spans="1:5">
      <c r="A48" s="53">
        <v>45947</v>
      </c>
      <c r="B48" s="54">
        <v>4</v>
      </c>
      <c r="C48" s="55">
        <v>7</v>
      </c>
      <c r="D48" s="55">
        <v>3</v>
      </c>
      <c r="E48" s="55">
        <v>7</v>
      </c>
    </row>
    <row r="49" customHeight="1" spans="1:5">
      <c r="A49" s="53">
        <v>45948</v>
      </c>
      <c r="B49" s="54">
        <v>4</v>
      </c>
      <c r="C49" s="55">
        <v>7</v>
      </c>
      <c r="D49" s="55">
        <v>3</v>
      </c>
      <c r="E49" s="55">
        <v>7</v>
      </c>
    </row>
    <row r="50" customHeight="1" spans="1:5">
      <c r="A50" s="53">
        <v>45949</v>
      </c>
      <c r="B50" s="54">
        <v>4</v>
      </c>
      <c r="C50" s="55">
        <v>7</v>
      </c>
      <c r="D50" s="55">
        <v>3</v>
      </c>
      <c r="E50" s="55">
        <v>7</v>
      </c>
    </row>
    <row r="51" customHeight="1" spans="1:5">
      <c r="A51" s="53">
        <v>45950</v>
      </c>
      <c r="B51" s="54">
        <v>4</v>
      </c>
      <c r="C51" s="55">
        <v>7</v>
      </c>
      <c r="D51" s="55">
        <v>3</v>
      </c>
      <c r="E51" s="55">
        <v>7</v>
      </c>
    </row>
    <row r="52" customHeight="1" spans="1:5">
      <c r="A52" s="53">
        <v>45951</v>
      </c>
      <c r="B52" s="54">
        <v>4</v>
      </c>
      <c r="C52" s="55">
        <v>7</v>
      </c>
      <c r="D52" s="55">
        <v>3</v>
      </c>
      <c r="E52" s="55">
        <v>7</v>
      </c>
    </row>
    <row r="53" customHeight="1" spans="1:5">
      <c r="A53" s="53">
        <v>45952</v>
      </c>
      <c r="B53" s="54">
        <v>4</v>
      </c>
      <c r="C53" s="55">
        <v>7</v>
      </c>
      <c r="D53" s="55">
        <v>3</v>
      </c>
      <c r="E53" s="55">
        <v>7</v>
      </c>
    </row>
    <row r="54" customHeight="1" spans="1:5">
      <c r="A54" s="53">
        <v>45953</v>
      </c>
      <c r="B54" s="54">
        <v>4</v>
      </c>
      <c r="C54" s="55">
        <v>7</v>
      </c>
      <c r="D54" s="55">
        <v>3</v>
      </c>
      <c r="E54" s="55">
        <v>7</v>
      </c>
    </row>
    <row r="55" customHeight="1" spans="1:5">
      <c r="A55" s="53">
        <v>45954</v>
      </c>
      <c r="B55" s="54">
        <v>4</v>
      </c>
      <c r="C55" s="55">
        <v>7</v>
      </c>
      <c r="D55" s="55">
        <v>3</v>
      </c>
      <c r="E55" s="55">
        <v>7</v>
      </c>
    </row>
    <row r="56" customHeight="1" spans="1:5">
      <c r="A56" s="53">
        <v>45955</v>
      </c>
      <c r="B56" s="54">
        <v>4</v>
      </c>
      <c r="C56" s="55">
        <v>7</v>
      </c>
      <c r="D56" s="55">
        <v>3</v>
      </c>
      <c r="E56" s="55">
        <v>7</v>
      </c>
    </row>
    <row r="57" customHeight="1" spans="1:5">
      <c r="A57" s="53">
        <v>45956</v>
      </c>
      <c r="B57" s="54">
        <v>4</v>
      </c>
      <c r="C57" s="55">
        <v>7</v>
      </c>
      <c r="D57" s="55">
        <v>3</v>
      </c>
      <c r="E57" s="55">
        <v>7</v>
      </c>
    </row>
    <row r="58" customHeight="1" spans="1:5">
      <c r="A58" s="53">
        <v>45957</v>
      </c>
      <c r="B58" s="54">
        <v>4</v>
      </c>
      <c r="C58" s="55">
        <v>7</v>
      </c>
      <c r="D58" s="55">
        <v>3</v>
      </c>
      <c r="E58" s="55">
        <v>7</v>
      </c>
    </row>
    <row r="59" customHeight="1" spans="1:5">
      <c r="A59" s="53">
        <v>45958</v>
      </c>
      <c r="B59" s="54">
        <v>4</v>
      </c>
      <c r="C59" s="55">
        <v>7</v>
      </c>
      <c r="D59" s="55">
        <v>3</v>
      </c>
      <c r="E59" s="55">
        <v>7</v>
      </c>
    </row>
    <row r="60" customHeight="1" spans="1:5">
      <c r="A60" s="53">
        <v>45959</v>
      </c>
      <c r="B60" s="54">
        <v>4</v>
      </c>
      <c r="C60" s="55">
        <v>7</v>
      </c>
      <c r="D60" s="55">
        <v>3</v>
      </c>
      <c r="E60" s="55">
        <v>7</v>
      </c>
    </row>
    <row r="61" customHeight="1" spans="1:5">
      <c r="A61" s="53">
        <v>45960</v>
      </c>
      <c r="B61" s="54">
        <v>4</v>
      </c>
      <c r="C61" s="55">
        <v>7</v>
      </c>
      <c r="D61" s="55">
        <v>3</v>
      </c>
      <c r="E61" s="55">
        <v>7</v>
      </c>
    </row>
    <row r="62" customHeight="1" spans="1:5">
      <c r="A62" s="53">
        <v>45961</v>
      </c>
      <c r="B62" s="54">
        <v>4</v>
      </c>
      <c r="C62" s="55">
        <v>7</v>
      </c>
      <c r="D62" s="55">
        <v>3</v>
      </c>
      <c r="E62" s="55">
        <v>7</v>
      </c>
    </row>
    <row r="63" customHeight="1" spans="1:5">
      <c r="A63" s="53">
        <v>45962</v>
      </c>
      <c r="B63" s="54">
        <v>4</v>
      </c>
      <c r="C63" s="55">
        <v>7</v>
      </c>
      <c r="D63" s="55">
        <v>3</v>
      </c>
      <c r="E63" s="55">
        <v>7</v>
      </c>
    </row>
    <row r="64" customHeight="1" spans="1:5">
      <c r="A64" s="53">
        <v>45963</v>
      </c>
      <c r="B64" s="54">
        <v>4</v>
      </c>
      <c r="C64" s="55">
        <v>7</v>
      </c>
      <c r="D64" s="55">
        <v>3</v>
      </c>
      <c r="E64" s="55">
        <v>7</v>
      </c>
    </row>
    <row r="65" customHeight="1" spans="1:5">
      <c r="A65" s="53">
        <v>45964</v>
      </c>
      <c r="B65" s="54">
        <v>4</v>
      </c>
      <c r="C65" s="55">
        <v>7</v>
      </c>
      <c r="D65" s="55">
        <v>3</v>
      </c>
      <c r="E65" s="55">
        <v>7</v>
      </c>
    </row>
    <row r="66" customHeight="1" spans="1:5">
      <c r="A66" s="53">
        <v>45965</v>
      </c>
      <c r="B66" s="54">
        <v>4</v>
      </c>
      <c r="C66" s="55">
        <v>7</v>
      </c>
      <c r="D66" s="55">
        <v>3</v>
      </c>
      <c r="E66" s="55">
        <v>7</v>
      </c>
    </row>
    <row r="67" customHeight="1" spans="1:5">
      <c r="A67" s="53">
        <v>45966</v>
      </c>
      <c r="B67" s="54">
        <v>4</v>
      </c>
      <c r="C67" s="55">
        <v>7</v>
      </c>
      <c r="D67" s="55">
        <v>3</v>
      </c>
      <c r="E67" s="55">
        <v>7</v>
      </c>
    </row>
    <row r="68" customHeight="1" spans="1:5">
      <c r="A68" s="53">
        <v>45967</v>
      </c>
      <c r="B68" s="54">
        <v>4</v>
      </c>
      <c r="C68" s="55">
        <v>7</v>
      </c>
      <c r="D68" s="55">
        <v>3</v>
      </c>
      <c r="E68" s="55">
        <v>7</v>
      </c>
    </row>
    <row r="69" customHeight="1" spans="1:5">
      <c r="A69" s="53">
        <v>45968</v>
      </c>
      <c r="B69" s="54">
        <v>4</v>
      </c>
      <c r="C69" s="55">
        <v>7</v>
      </c>
      <c r="D69" s="55">
        <v>3</v>
      </c>
      <c r="E69" s="55">
        <v>7</v>
      </c>
    </row>
    <row r="70" customHeight="1" spans="1:5">
      <c r="A70" s="53">
        <v>45969</v>
      </c>
      <c r="B70" s="54">
        <v>4</v>
      </c>
      <c r="C70" s="55">
        <v>7</v>
      </c>
      <c r="D70" s="55">
        <v>3</v>
      </c>
      <c r="E70" s="55">
        <v>7</v>
      </c>
    </row>
    <row r="71" customHeight="1" spans="1:5">
      <c r="A71" s="53">
        <v>45970</v>
      </c>
      <c r="B71" s="54">
        <v>4</v>
      </c>
      <c r="C71" s="55">
        <v>7</v>
      </c>
      <c r="D71" s="55">
        <v>3</v>
      </c>
      <c r="E71" s="55">
        <v>7</v>
      </c>
    </row>
    <row r="72" customHeight="1" spans="1:5">
      <c r="A72" s="53">
        <v>45971</v>
      </c>
      <c r="B72" s="54">
        <v>4</v>
      </c>
      <c r="C72" s="55">
        <v>7</v>
      </c>
      <c r="D72" s="55">
        <v>3</v>
      </c>
      <c r="E72" s="55">
        <v>7</v>
      </c>
    </row>
    <row r="73" customHeight="1" spans="1:5">
      <c r="A73" s="53">
        <v>45972</v>
      </c>
      <c r="B73" s="54">
        <v>4</v>
      </c>
      <c r="C73" s="55">
        <v>7</v>
      </c>
      <c r="D73" s="55">
        <v>3</v>
      </c>
      <c r="E73" s="55">
        <v>7</v>
      </c>
    </row>
    <row r="74" customHeight="1" spans="1:5">
      <c r="A74" s="53">
        <v>45973</v>
      </c>
      <c r="B74" s="54">
        <v>4</v>
      </c>
      <c r="C74" s="55">
        <v>7</v>
      </c>
      <c r="D74" s="55">
        <v>3</v>
      </c>
      <c r="E74" s="55">
        <v>7</v>
      </c>
    </row>
    <row r="75" customHeight="1" spans="1:5">
      <c r="A75" s="53">
        <v>45974</v>
      </c>
      <c r="B75" s="54">
        <v>4</v>
      </c>
      <c r="C75" s="55">
        <v>7</v>
      </c>
      <c r="D75" s="55">
        <v>3</v>
      </c>
      <c r="E75" s="55">
        <v>7</v>
      </c>
    </row>
    <row r="76" customHeight="1" spans="1:5">
      <c r="A76" s="53">
        <v>45975</v>
      </c>
      <c r="B76" s="54">
        <v>4</v>
      </c>
      <c r="C76" s="55">
        <v>7</v>
      </c>
      <c r="D76" s="55">
        <v>3</v>
      </c>
      <c r="E76" s="55">
        <v>7</v>
      </c>
    </row>
    <row r="77" customHeight="1" spans="1:5">
      <c r="A77" s="53">
        <v>45976</v>
      </c>
      <c r="B77" s="54">
        <v>4</v>
      </c>
      <c r="C77" s="55">
        <v>7</v>
      </c>
      <c r="D77" s="55">
        <v>3</v>
      </c>
      <c r="E77" s="55">
        <v>7</v>
      </c>
    </row>
    <row r="78" customHeight="1" spans="1:5">
      <c r="A78" s="53">
        <v>45977</v>
      </c>
      <c r="B78" s="54">
        <v>4</v>
      </c>
      <c r="C78" s="55">
        <v>7</v>
      </c>
      <c r="D78" s="55">
        <v>3</v>
      </c>
      <c r="E78" s="55">
        <v>7</v>
      </c>
    </row>
    <row r="79" customHeight="1" spans="1:5">
      <c r="A79" s="53">
        <v>45978</v>
      </c>
      <c r="B79" s="54">
        <v>4</v>
      </c>
      <c r="C79" s="55">
        <v>7</v>
      </c>
      <c r="D79" s="55">
        <v>3</v>
      </c>
      <c r="E79" s="55">
        <v>7</v>
      </c>
    </row>
    <row r="80" customHeight="1" spans="1:5">
      <c r="A80" s="53">
        <v>45979</v>
      </c>
      <c r="B80" s="54">
        <v>4</v>
      </c>
      <c r="C80" s="55">
        <v>7</v>
      </c>
      <c r="D80" s="55">
        <v>3</v>
      </c>
      <c r="E80" s="55">
        <v>7</v>
      </c>
    </row>
    <row r="81" customHeight="1" spans="1:5">
      <c r="A81" s="53">
        <v>45980</v>
      </c>
      <c r="B81" s="54">
        <v>4</v>
      </c>
      <c r="C81" s="55">
        <v>7</v>
      </c>
      <c r="D81" s="55">
        <v>3</v>
      </c>
      <c r="E81" s="55">
        <v>7</v>
      </c>
    </row>
    <row r="82" customHeight="1" spans="1:5">
      <c r="A82" s="53">
        <v>45981</v>
      </c>
      <c r="B82" s="54">
        <v>4</v>
      </c>
      <c r="C82" s="55">
        <v>7</v>
      </c>
      <c r="D82" s="55">
        <v>3</v>
      </c>
      <c r="E82" s="55">
        <v>7</v>
      </c>
    </row>
    <row r="83" customHeight="1" spans="1:5">
      <c r="A83" s="53">
        <v>45982</v>
      </c>
      <c r="B83" s="54">
        <v>4</v>
      </c>
      <c r="C83" s="55">
        <v>7</v>
      </c>
      <c r="D83" s="55">
        <v>3</v>
      </c>
      <c r="E83" s="55">
        <v>7</v>
      </c>
    </row>
    <row r="84" customHeight="1" spans="1:5">
      <c r="A84" s="53">
        <v>45983</v>
      </c>
      <c r="B84" s="54">
        <v>4</v>
      </c>
      <c r="C84" s="55">
        <v>7</v>
      </c>
      <c r="D84" s="55">
        <v>3</v>
      </c>
      <c r="E84" s="55">
        <v>7</v>
      </c>
    </row>
    <row r="85" customHeight="1" spans="1:5">
      <c r="A85" s="53">
        <v>45984</v>
      </c>
      <c r="B85" s="54">
        <v>4</v>
      </c>
      <c r="C85" s="55">
        <v>7</v>
      </c>
      <c r="D85" s="55">
        <v>3</v>
      </c>
      <c r="E85" s="55">
        <v>7</v>
      </c>
    </row>
    <row r="86" customHeight="1" spans="1:5">
      <c r="A86" s="53">
        <v>45985</v>
      </c>
      <c r="B86" s="54">
        <v>4</v>
      </c>
      <c r="C86" s="55">
        <v>7</v>
      </c>
      <c r="D86" s="55">
        <v>3</v>
      </c>
      <c r="E86" s="55">
        <v>7</v>
      </c>
    </row>
    <row r="87" customHeight="1" spans="1:5">
      <c r="A87" s="53">
        <v>45986</v>
      </c>
      <c r="B87" s="54">
        <v>4</v>
      </c>
      <c r="C87" s="55">
        <v>7</v>
      </c>
      <c r="D87" s="55">
        <v>3</v>
      </c>
      <c r="E87" s="55">
        <v>7</v>
      </c>
    </row>
    <row r="88" customHeight="1" spans="1:5">
      <c r="A88" s="53">
        <v>45987</v>
      </c>
      <c r="B88" s="54">
        <v>4</v>
      </c>
      <c r="C88" s="55">
        <v>7</v>
      </c>
      <c r="D88" s="55">
        <v>3</v>
      </c>
      <c r="E88" s="55">
        <v>7</v>
      </c>
    </row>
    <row r="89" customHeight="1" spans="1:5">
      <c r="A89" s="53">
        <v>45988</v>
      </c>
      <c r="B89" s="54">
        <v>4</v>
      </c>
      <c r="C89" s="55">
        <v>7</v>
      </c>
      <c r="D89" s="55">
        <v>3</v>
      </c>
      <c r="E89" s="55">
        <v>7</v>
      </c>
    </row>
    <row r="90" customHeight="1" spans="1:5">
      <c r="A90" s="53">
        <v>45989</v>
      </c>
      <c r="B90" s="54">
        <v>4</v>
      </c>
      <c r="C90" s="55">
        <v>7</v>
      </c>
      <c r="D90" s="55">
        <v>3</v>
      </c>
      <c r="E90" s="55">
        <v>7</v>
      </c>
    </row>
    <row r="91" customHeight="1" spans="1:5">
      <c r="A91" s="53">
        <v>45990</v>
      </c>
      <c r="B91" s="54">
        <v>4</v>
      </c>
      <c r="C91" s="55">
        <v>7</v>
      </c>
      <c r="D91" s="55">
        <v>3</v>
      </c>
      <c r="E91" s="55">
        <v>7</v>
      </c>
    </row>
    <row r="92" customHeight="1" spans="1:5">
      <c r="A92" s="53">
        <v>45991</v>
      </c>
      <c r="B92" s="54">
        <v>4</v>
      </c>
      <c r="C92" s="55">
        <v>7</v>
      </c>
      <c r="D92" s="55">
        <v>3</v>
      </c>
      <c r="E92" s="55">
        <v>7</v>
      </c>
    </row>
    <row r="93" customHeight="1" spans="1:5">
      <c r="A93" s="53">
        <v>45992</v>
      </c>
      <c r="B93" s="54">
        <v>4</v>
      </c>
      <c r="C93" s="55">
        <v>7</v>
      </c>
      <c r="D93" s="55">
        <v>3</v>
      </c>
      <c r="E93" s="55">
        <v>7</v>
      </c>
    </row>
    <row r="94" customHeight="1" spans="1:5">
      <c r="A94" s="53">
        <v>45993</v>
      </c>
      <c r="B94" s="54">
        <v>4</v>
      </c>
      <c r="C94" s="55">
        <v>7</v>
      </c>
      <c r="D94" s="55">
        <v>3</v>
      </c>
      <c r="E94" s="55">
        <v>7</v>
      </c>
    </row>
    <row r="95" customHeight="1" spans="1:5">
      <c r="A95" s="53">
        <v>45994</v>
      </c>
      <c r="B95" s="54">
        <v>4</v>
      </c>
      <c r="C95" s="55">
        <v>7</v>
      </c>
      <c r="D95" s="55">
        <v>3</v>
      </c>
      <c r="E95" s="55">
        <v>7</v>
      </c>
    </row>
    <row r="96" customHeight="1" spans="1:5">
      <c r="A96" s="53">
        <v>45995</v>
      </c>
      <c r="B96" s="54">
        <v>4</v>
      </c>
      <c r="C96" s="55">
        <v>7</v>
      </c>
      <c r="D96" s="55">
        <v>3</v>
      </c>
      <c r="E96" s="55">
        <v>7</v>
      </c>
    </row>
    <row r="97" customHeight="1" spans="1:5">
      <c r="A97" s="53">
        <v>45996</v>
      </c>
      <c r="B97" s="54">
        <v>4</v>
      </c>
      <c r="C97" s="55">
        <v>7</v>
      </c>
      <c r="D97" s="55">
        <v>3</v>
      </c>
      <c r="E97" s="55">
        <v>7</v>
      </c>
    </row>
    <row r="98" customHeight="1" spans="1:5">
      <c r="A98" s="53">
        <v>45997</v>
      </c>
      <c r="B98" s="54">
        <v>4</v>
      </c>
      <c r="C98" s="55">
        <v>7</v>
      </c>
      <c r="D98" s="55">
        <v>3</v>
      </c>
      <c r="E98" s="55">
        <v>7</v>
      </c>
    </row>
    <row r="99" customHeight="1" spans="1:5">
      <c r="A99" s="53">
        <v>45998</v>
      </c>
      <c r="B99" s="54">
        <v>4</v>
      </c>
      <c r="C99" s="55">
        <v>7</v>
      </c>
      <c r="D99" s="55">
        <v>3</v>
      </c>
      <c r="E99" s="55">
        <v>7</v>
      </c>
    </row>
    <row r="100" customHeight="1" spans="1:5">
      <c r="A100" s="53">
        <v>45999</v>
      </c>
      <c r="B100" s="54">
        <v>4</v>
      </c>
      <c r="C100" s="55">
        <v>7</v>
      </c>
      <c r="D100" s="55">
        <v>3</v>
      </c>
      <c r="E100" s="55">
        <v>7</v>
      </c>
    </row>
    <row r="101" customHeight="1" spans="1:5">
      <c r="A101" s="53">
        <v>46000</v>
      </c>
      <c r="B101" s="54">
        <v>4</v>
      </c>
      <c r="C101" s="55">
        <v>7</v>
      </c>
      <c r="D101" s="55">
        <v>3</v>
      </c>
      <c r="E101" s="55">
        <v>7</v>
      </c>
    </row>
    <row r="102" customHeight="1" spans="1:5">
      <c r="A102" s="53">
        <v>46001</v>
      </c>
      <c r="B102" s="54">
        <v>4</v>
      </c>
      <c r="C102" s="55">
        <v>7</v>
      </c>
      <c r="D102" s="55">
        <v>3</v>
      </c>
      <c r="E102" s="55">
        <v>7</v>
      </c>
    </row>
    <row r="103" customHeight="1" spans="1:5">
      <c r="A103" s="53">
        <v>46002</v>
      </c>
      <c r="B103" s="54">
        <v>4</v>
      </c>
      <c r="C103" s="55">
        <v>7</v>
      </c>
      <c r="D103" s="55">
        <v>3</v>
      </c>
      <c r="E103" s="55">
        <v>7</v>
      </c>
    </row>
    <row r="104" customHeight="1" spans="1:5">
      <c r="A104" s="53">
        <v>46003</v>
      </c>
      <c r="B104" s="54">
        <v>4</v>
      </c>
      <c r="C104" s="55">
        <v>7</v>
      </c>
      <c r="D104" s="55">
        <v>3</v>
      </c>
      <c r="E104" s="55">
        <v>7</v>
      </c>
    </row>
    <row r="105" customHeight="1" spans="1:5">
      <c r="A105" s="53">
        <v>46004</v>
      </c>
      <c r="B105" s="54">
        <v>4</v>
      </c>
      <c r="C105" s="55">
        <v>7</v>
      </c>
      <c r="D105" s="55">
        <v>3</v>
      </c>
      <c r="E105" s="55">
        <v>7</v>
      </c>
    </row>
    <row r="106" customHeight="1" spans="1:5">
      <c r="A106" s="53">
        <v>46005</v>
      </c>
      <c r="B106" s="54">
        <v>4</v>
      </c>
      <c r="C106" s="55">
        <v>7</v>
      </c>
      <c r="D106" s="55">
        <v>3</v>
      </c>
      <c r="E106" s="55">
        <v>7</v>
      </c>
    </row>
    <row r="107" customHeight="1" spans="1:5">
      <c r="A107" s="53">
        <v>46006</v>
      </c>
      <c r="B107" s="54">
        <v>4</v>
      </c>
      <c r="C107" s="55">
        <v>7</v>
      </c>
      <c r="D107" s="55">
        <v>3</v>
      </c>
      <c r="E107" s="55">
        <v>7</v>
      </c>
    </row>
    <row r="108" customHeight="1" spans="1:5">
      <c r="A108" s="53">
        <v>46007</v>
      </c>
      <c r="B108" s="54">
        <v>4</v>
      </c>
      <c r="C108" s="55">
        <v>7</v>
      </c>
      <c r="D108" s="55">
        <v>3</v>
      </c>
      <c r="E108" s="55">
        <v>7</v>
      </c>
    </row>
    <row r="109" customHeight="1" spans="1:5">
      <c r="A109" s="53">
        <v>46008</v>
      </c>
      <c r="B109" s="54">
        <v>4</v>
      </c>
      <c r="C109" s="55">
        <v>7</v>
      </c>
      <c r="D109" s="55">
        <v>3</v>
      </c>
      <c r="E109" s="55">
        <v>7</v>
      </c>
    </row>
    <row r="110" customHeight="1" spans="1:5">
      <c r="A110" s="53">
        <v>46009</v>
      </c>
      <c r="B110" s="54">
        <v>4</v>
      </c>
      <c r="C110" s="55">
        <v>7</v>
      </c>
      <c r="D110" s="55">
        <v>3</v>
      </c>
      <c r="E110" s="55">
        <v>7</v>
      </c>
    </row>
    <row r="111" customHeight="1" spans="1:5">
      <c r="A111" s="53">
        <v>46010</v>
      </c>
      <c r="B111" s="54">
        <v>4</v>
      </c>
      <c r="C111" s="55">
        <v>7</v>
      </c>
      <c r="D111" s="55">
        <v>3</v>
      </c>
      <c r="E111" s="55">
        <v>7</v>
      </c>
    </row>
    <row r="112" customHeight="1" spans="1:5">
      <c r="A112" s="53">
        <v>46011</v>
      </c>
      <c r="B112" s="54">
        <v>4</v>
      </c>
      <c r="C112" s="55">
        <v>7</v>
      </c>
      <c r="D112" s="55">
        <v>3</v>
      </c>
      <c r="E112" s="55">
        <v>7</v>
      </c>
    </row>
    <row r="113" customHeight="1" spans="1:5">
      <c r="A113" s="53">
        <v>46012</v>
      </c>
      <c r="B113" s="54">
        <v>4</v>
      </c>
      <c r="C113" s="55">
        <v>7</v>
      </c>
      <c r="D113" s="55">
        <v>3</v>
      </c>
      <c r="E113" s="55">
        <v>7</v>
      </c>
    </row>
    <row r="114" customHeight="1" spans="1:5">
      <c r="A114" s="53">
        <v>46013</v>
      </c>
      <c r="B114" s="54">
        <v>4</v>
      </c>
      <c r="C114" s="55">
        <v>7</v>
      </c>
      <c r="D114" s="55">
        <v>3</v>
      </c>
      <c r="E114" s="55">
        <v>7</v>
      </c>
    </row>
    <row r="115" customHeight="1" spans="1:5">
      <c r="A115" s="53">
        <v>46014</v>
      </c>
      <c r="B115" s="54">
        <v>4</v>
      </c>
      <c r="C115" s="55">
        <v>7</v>
      </c>
      <c r="D115" s="55">
        <v>3</v>
      </c>
      <c r="E115" s="55">
        <v>7</v>
      </c>
    </row>
    <row r="116" customHeight="1" spans="1:5">
      <c r="A116" s="53">
        <v>46015</v>
      </c>
      <c r="B116" s="54">
        <v>4</v>
      </c>
      <c r="C116" s="55">
        <v>7</v>
      </c>
      <c r="D116" s="55">
        <v>3</v>
      </c>
      <c r="E116" s="55">
        <v>7</v>
      </c>
    </row>
    <row r="117" customHeight="1" spans="1:5">
      <c r="A117" s="53">
        <v>46016</v>
      </c>
      <c r="B117" s="54">
        <v>4</v>
      </c>
      <c r="C117" s="55">
        <v>7</v>
      </c>
      <c r="D117" s="55">
        <v>3</v>
      </c>
      <c r="E117" s="55">
        <v>7</v>
      </c>
    </row>
    <row r="118" customHeight="1" spans="1:5">
      <c r="A118" s="53">
        <v>46017</v>
      </c>
      <c r="B118" s="54">
        <v>4</v>
      </c>
      <c r="C118" s="55">
        <v>7</v>
      </c>
      <c r="D118" s="55">
        <v>3</v>
      </c>
      <c r="E118" s="55">
        <v>7</v>
      </c>
    </row>
    <row r="119" customHeight="1" spans="1:5">
      <c r="A119" s="53">
        <v>46018</v>
      </c>
      <c r="B119" s="54">
        <v>4</v>
      </c>
      <c r="C119" s="55">
        <v>7</v>
      </c>
      <c r="D119" s="55">
        <v>3</v>
      </c>
      <c r="E119" s="55">
        <v>7</v>
      </c>
    </row>
    <row r="120" customHeight="1" spans="1:5">
      <c r="A120" s="53">
        <v>46019</v>
      </c>
      <c r="B120" s="54">
        <v>4</v>
      </c>
      <c r="C120" s="55">
        <v>7</v>
      </c>
      <c r="D120" s="55">
        <v>3</v>
      </c>
      <c r="E120" s="55">
        <v>7</v>
      </c>
    </row>
    <row r="121" customHeight="1" spans="1:5">
      <c r="A121" s="53">
        <v>46020</v>
      </c>
      <c r="B121" s="54">
        <v>4</v>
      </c>
      <c r="C121" s="55">
        <v>7</v>
      </c>
      <c r="D121" s="55">
        <v>3</v>
      </c>
      <c r="E121" s="55">
        <v>7</v>
      </c>
    </row>
    <row r="122" customHeight="1" spans="1:5">
      <c r="A122" s="53">
        <v>46021</v>
      </c>
      <c r="B122" s="54">
        <v>4</v>
      </c>
      <c r="C122" s="55">
        <v>7</v>
      </c>
      <c r="D122" s="55">
        <v>3</v>
      </c>
      <c r="E122" s="55">
        <v>7</v>
      </c>
    </row>
    <row r="123" customHeight="1" spans="1:5">
      <c r="A123" s="53">
        <v>46022</v>
      </c>
      <c r="B123" s="54">
        <v>4</v>
      </c>
      <c r="C123" s="55">
        <v>7</v>
      </c>
      <c r="D123" s="55">
        <v>3</v>
      </c>
      <c r="E123" s="55">
        <v>7</v>
      </c>
    </row>
    <row r="124" customHeight="1" spans="1:5">
      <c r="A124" s="53">
        <v>46023</v>
      </c>
      <c r="B124" s="54">
        <v>4</v>
      </c>
      <c r="C124" s="55">
        <v>7</v>
      </c>
      <c r="D124" s="55">
        <v>3</v>
      </c>
      <c r="E124" s="55">
        <v>7</v>
      </c>
    </row>
    <row r="125" customHeight="1" spans="1:5">
      <c r="A125" s="53">
        <v>46024</v>
      </c>
      <c r="B125" s="54">
        <v>4</v>
      </c>
      <c r="C125" s="55">
        <v>7</v>
      </c>
      <c r="D125" s="55">
        <v>3</v>
      </c>
      <c r="E125" s="55">
        <v>7</v>
      </c>
    </row>
    <row r="126" customHeight="1" spans="1:5">
      <c r="A126" s="53">
        <v>46025</v>
      </c>
      <c r="B126" s="54">
        <v>4</v>
      </c>
      <c r="C126" s="55">
        <v>7</v>
      </c>
      <c r="D126" s="55">
        <v>3</v>
      </c>
      <c r="E126" s="55">
        <v>7</v>
      </c>
    </row>
    <row r="127" customHeight="1" spans="1:5">
      <c r="A127" s="53">
        <v>46026</v>
      </c>
      <c r="B127" s="54">
        <v>4</v>
      </c>
      <c r="C127" s="55">
        <v>7</v>
      </c>
      <c r="D127" s="55">
        <v>3</v>
      </c>
      <c r="E127" s="55">
        <v>7</v>
      </c>
    </row>
    <row r="128" customHeight="1" spans="1:5">
      <c r="A128" s="53">
        <v>46027</v>
      </c>
      <c r="B128" s="54">
        <v>4</v>
      </c>
      <c r="C128" s="55">
        <v>7</v>
      </c>
      <c r="D128" s="55">
        <v>3</v>
      </c>
      <c r="E128" s="55">
        <v>7</v>
      </c>
    </row>
    <row r="129" customHeight="1" spans="1:5">
      <c r="A129" s="53">
        <v>46028</v>
      </c>
      <c r="B129" s="54">
        <v>4</v>
      </c>
      <c r="C129" s="55">
        <v>7</v>
      </c>
      <c r="D129" s="55">
        <v>3</v>
      </c>
      <c r="E129" s="55">
        <v>7</v>
      </c>
    </row>
    <row r="130" customHeight="1" spans="1:5">
      <c r="A130" s="53">
        <v>46029</v>
      </c>
      <c r="B130" s="54">
        <v>4</v>
      </c>
      <c r="C130" s="55">
        <v>7</v>
      </c>
      <c r="D130" s="55">
        <v>3</v>
      </c>
      <c r="E130" s="55">
        <v>7</v>
      </c>
    </row>
    <row r="131" customHeight="1" spans="1:5">
      <c r="A131" s="53">
        <v>46030</v>
      </c>
      <c r="B131" s="54">
        <v>4</v>
      </c>
      <c r="C131" s="55">
        <v>7</v>
      </c>
      <c r="D131" s="55">
        <v>3</v>
      </c>
      <c r="E131" s="55">
        <v>7</v>
      </c>
    </row>
    <row r="132" customHeight="1" spans="1:5">
      <c r="A132" s="53">
        <v>46031</v>
      </c>
      <c r="B132" s="54">
        <v>4</v>
      </c>
      <c r="C132" s="55">
        <v>7</v>
      </c>
      <c r="D132" s="55">
        <v>3</v>
      </c>
      <c r="E132" s="55">
        <v>7</v>
      </c>
    </row>
    <row r="133" customHeight="1" spans="1:5">
      <c r="A133" s="53">
        <v>46032</v>
      </c>
      <c r="B133" s="54">
        <v>4</v>
      </c>
      <c r="C133" s="55">
        <v>7</v>
      </c>
      <c r="D133" s="55">
        <v>3</v>
      </c>
      <c r="E133" s="55">
        <v>7</v>
      </c>
    </row>
    <row r="134" customHeight="1" spans="1:5">
      <c r="A134" s="53">
        <v>46033</v>
      </c>
      <c r="B134" s="54">
        <v>4</v>
      </c>
      <c r="C134" s="55">
        <v>7</v>
      </c>
      <c r="D134" s="55">
        <v>3</v>
      </c>
      <c r="E134" s="55">
        <v>7</v>
      </c>
    </row>
    <row r="135" customHeight="1" spans="1:5">
      <c r="A135" s="53">
        <v>46034</v>
      </c>
      <c r="B135" s="54">
        <v>4</v>
      </c>
      <c r="C135" s="55">
        <v>7</v>
      </c>
      <c r="D135" s="55">
        <v>3</v>
      </c>
      <c r="E135" s="55">
        <v>7</v>
      </c>
    </row>
    <row r="136" customHeight="1" spans="1:5">
      <c r="A136" s="53">
        <v>46035</v>
      </c>
      <c r="B136" s="54">
        <v>4</v>
      </c>
      <c r="C136" s="55">
        <v>7</v>
      </c>
      <c r="D136" s="55">
        <v>3</v>
      </c>
      <c r="E136" s="55">
        <v>7</v>
      </c>
    </row>
    <row r="137" customHeight="1" spans="1:5">
      <c r="A137" s="53">
        <v>46036</v>
      </c>
      <c r="B137" s="54">
        <v>4</v>
      </c>
      <c r="C137" s="55">
        <v>7</v>
      </c>
      <c r="D137" s="55">
        <v>3</v>
      </c>
      <c r="E137" s="55">
        <v>7</v>
      </c>
    </row>
    <row r="138" customHeight="1" spans="1:5">
      <c r="A138" s="53">
        <v>46037</v>
      </c>
      <c r="B138" s="54">
        <v>4</v>
      </c>
      <c r="C138" s="55">
        <v>7</v>
      </c>
      <c r="D138" s="55">
        <v>3</v>
      </c>
      <c r="E138" s="55">
        <v>7</v>
      </c>
    </row>
    <row r="139" customHeight="1" spans="1:5">
      <c r="A139" s="53">
        <v>46038</v>
      </c>
      <c r="B139" s="54">
        <v>4</v>
      </c>
      <c r="C139" s="55">
        <v>7</v>
      </c>
      <c r="D139" s="55">
        <v>3</v>
      </c>
      <c r="E139" s="55">
        <v>7</v>
      </c>
    </row>
    <row r="140" customHeight="1" spans="1:5">
      <c r="A140" s="53">
        <v>46039</v>
      </c>
      <c r="B140" s="54">
        <v>4</v>
      </c>
      <c r="C140" s="55">
        <v>7</v>
      </c>
      <c r="D140" s="55">
        <v>3</v>
      </c>
      <c r="E140" s="55">
        <v>7</v>
      </c>
    </row>
    <row r="141" customHeight="1" spans="1:5">
      <c r="A141" s="53">
        <v>46040</v>
      </c>
      <c r="B141" s="54">
        <v>4</v>
      </c>
      <c r="C141" s="55">
        <v>7</v>
      </c>
      <c r="D141" s="55">
        <v>3</v>
      </c>
      <c r="E141" s="55">
        <v>7</v>
      </c>
    </row>
    <row r="142" customHeight="1" spans="1:5">
      <c r="A142" s="53">
        <v>46041</v>
      </c>
      <c r="B142" s="54">
        <v>4</v>
      </c>
      <c r="C142" s="55">
        <v>7</v>
      </c>
      <c r="D142" s="55">
        <v>3</v>
      </c>
      <c r="E142" s="55">
        <v>7</v>
      </c>
    </row>
    <row r="143" customHeight="1" spans="1:5">
      <c r="A143" s="53">
        <v>46042</v>
      </c>
      <c r="B143" s="54">
        <v>4</v>
      </c>
      <c r="C143" s="55">
        <v>7</v>
      </c>
      <c r="D143" s="55">
        <v>3</v>
      </c>
      <c r="E143" s="55">
        <v>7</v>
      </c>
    </row>
    <row r="144" customHeight="1" spans="1:5">
      <c r="A144" s="53">
        <v>46043</v>
      </c>
      <c r="B144" s="54">
        <v>4</v>
      </c>
      <c r="C144" s="55">
        <v>7</v>
      </c>
      <c r="D144" s="55">
        <v>3</v>
      </c>
      <c r="E144" s="55">
        <v>7</v>
      </c>
    </row>
    <row r="145" customHeight="1" spans="1:5">
      <c r="A145" s="53">
        <v>46044</v>
      </c>
      <c r="B145" s="54">
        <v>4</v>
      </c>
      <c r="C145" s="55">
        <v>7</v>
      </c>
      <c r="D145" s="55">
        <v>3</v>
      </c>
      <c r="E145" s="55">
        <v>7</v>
      </c>
    </row>
    <row r="146" customHeight="1" spans="1:5">
      <c r="A146" s="53">
        <v>46045</v>
      </c>
      <c r="B146" s="54">
        <v>4</v>
      </c>
      <c r="C146" s="55">
        <v>7</v>
      </c>
      <c r="D146" s="55">
        <v>3</v>
      </c>
      <c r="E146" s="55">
        <v>7</v>
      </c>
    </row>
    <row r="147" customHeight="1" spans="1:5">
      <c r="A147" s="53">
        <v>46046</v>
      </c>
      <c r="B147" s="54">
        <v>4</v>
      </c>
      <c r="C147" s="55">
        <v>7</v>
      </c>
      <c r="D147" s="55">
        <v>3</v>
      </c>
      <c r="E147" s="55">
        <v>7</v>
      </c>
    </row>
    <row r="148" customHeight="1" spans="1:5">
      <c r="A148" s="53">
        <v>46047</v>
      </c>
      <c r="B148" s="54">
        <v>4</v>
      </c>
      <c r="C148" s="55">
        <v>7</v>
      </c>
      <c r="D148" s="55">
        <v>3</v>
      </c>
      <c r="E148" s="55">
        <v>7</v>
      </c>
    </row>
    <row r="149" customHeight="1" spans="1:5">
      <c r="A149" s="53">
        <v>46048</v>
      </c>
      <c r="B149" s="54">
        <v>4</v>
      </c>
      <c r="C149" s="55">
        <v>7</v>
      </c>
      <c r="D149" s="55">
        <v>3</v>
      </c>
      <c r="E149" s="55">
        <v>7</v>
      </c>
    </row>
    <row r="150" customHeight="1" spans="1:5">
      <c r="A150" s="53">
        <v>46049</v>
      </c>
      <c r="B150" s="54">
        <v>4</v>
      </c>
      <c r="C150" s="55">
        <v>7</v>
      </c>
      <c r="D150" s="55">
        <v>3</v>
      </c>
      <c r="E150" s="55">
        <v>7</v>
      </c>
    </row>
    <row r="151" customHeight="1" spans="1:5">
      <c r="A151" s="53">
        <v>46050</v>
      </c>
      <c r="B151" s="54">
        <v>4</v>
      </c>
      <c r="C151" s="55">
        <v>7</v>
      </c>
      <c r="D151" s="55">
        <v>3</v>
      </c>
      <c r="E151" s="55">
        <v>7</v>
      </c>
    </row>
    <row r="152" customHeight="1" spans="1:5">
      <c r="A152" s="53">
        <v>46051</v>
      </c>
      <c r="B152" s="54">
        <v>4</v>
      </c>
      <c r="C152" s="55">
        <v>7</v>
      </c>
      <c r="D152" s="55">
        <v>3</v>
      </c>
      <c r="E152" s="55">
        <v>7</v>
      </c>
    </row>
    <row r="153" customHeight="1" spans="1:5">
      <c r="A153" s="53">
        <v>46052</v>
      </c>
      <c r="B153" s="54">
        <v>4</v>
      </c>
      <c r="C153" s="55">
        <v>7</v>
      </c>
      <c r="D153" s="55">
        <v>3</v>
      </c>
      <c r="E153" s="55">
        <v>7</v>
      </c>
    </row>
    <row r="154" customHeight="1" spans="1:5">
      <c r="A154" s="53">
        <v>46053</v>
      </c>
      <c r="B154" s="54">
        <v>4</v>
      </c>
      <c r="C154" s="55">
        <v>7</v>
      </c>
      <c r="D154" s="55">
        <v>3</v>
      </c>
      <c r="E154" s="55">
        <v>7</v>
      </c>
    </row>
    <row r="155" customHeight="1" spans="1:5">
      <c r="A155" s="53">
        <v>46054</v>
      </c>
      <c r="B155" s="54">
        <v>4</v>
      </c>
      <c r="C155" s="55">
        <v>7</v>
      </c>
      <c r="D155" s="55">
        <v>3</v>
      </c>
      <c r="E155" s="55">
        <v>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N56"/>
  <sheetViews>
    <sheetView workbookViewId="0">
      <selection activeCell="A1" sqref="A1"/>
    </sheetView>
  </sheetViews>
  <sheetFormatPr defaultColWidth="12.6272727272727" defaultRowHeight="15.75" customHeight="1"/>
  <cols>
    <col min="1" max="1" width="15.7545454545455" customWidth="1"/>
  </cols>
  <sheetData>
    <row r="1" ht="13" spans="1:40">
      <c r="A1" s="1" t="s">
        <v>1</v>
      </c>
      <c r="B1" s="49">
        <v>46023</v>
      </c>
      <c r="C1" s="50">
        <f t="shared" ref="C1:AF1" si="0">B1+1</f>
        <v>46024</v>
      </c>
      <c r="D1" s="50">
        <f t="shared" si="0"/>
        <v>46025</v>
      </c>
      <c r="E1" s="50">
        <f t="shared" si="0"/>
        <v>46026</v>
      </c>
      <c r="F1" s="50">
        <f t="shared" si="0"/>
        <v>46027</v>
      </c>
      <c r="G1" s="50">
        <f t="shared" si="0"/>
        <v>46028</v>
      </c>
      <c r="H1" s="50">
        <f t="shared" si="0"/>
        <v>46029</v>
      </c>
      <c r="I1" s="50">
        <f t="shared" si="0"/>
        <v>46030</v>
      </c>
      <c r="J1" s="50">
        <f t="shared" si="0"/>
        <v>46031</v>
      </c>
      <c r="K1" s="50">
        <f t="shared" si="0"/>
        <v>46032</v>
      </c>
      <c r="L1" s="50">
        <f t="shared" si="0"/>
        <v>46033</v>
      </c>
      <c r="M1" s="50">
        <f t="shared" si="0"/>
        <v>46034</v>
      </c>
      <c r="N1" s="50">
        <f t="shared" si="0"/>
        <v>46035</v>
      </c>
      <c r="O1" s="50">
        <f t="shared" si="0"/>
        <v>46036</v>
      </c>
      <c r="P1" s="50">
        <f t="shared" si="0"/>
        <v>46037</v>
      </c>
      <c r="Q1" s="50">
        <f t="shared" si="0"/>
        <v>46038</v>
      </c>
      <c r="R1" s="50">
        <f t="shared" si="0"/>
        <v>46039</v>
      </c>
      <c r="S1" s="50">
        <f t="shared" si="0"/>
        <v>46040</v>
      </c>
      <c r="T1" s="50">
        <f t="shared" si="0"/>
        <v>46041</v>
      </c>
      <c r="U1" s="50">
        <f t="shared" si="0"/>
        <v>46042</v>
      </c>
      <c r="V1" s="50">
        <f t="shared" si="0"/>
        <v>46043</v>
      </c>
      <c r="W1" s="50">
        <f t="shared" si="0"/>
        <v>46044</v>
      </c>
      <c r="X1" s="50">
        <f t="shared" si="0"/>
        <v>46045</v>
      </c>
      <c r="Y1" s="50">
        <f t="shared" si="0"/>
        <v>46046</v>
      </c>
      <c r="Z1" s="50">
        <f t="shared" si="0"/>
        <v>46047</v>
      </c>
      <c r="AA1" s="50">
        <f t="shared" si="0"/>
        <v>46048</v>
      </c>
      <c r="AB1" s="50">
        <f t="shared" si="0"/>
        <v>46049</v>
      </c>
      <c r="AC1" s="50">
        <f t="shared" si="0"/>
        <v>46050</v>
      </c>
      <c r="AD1" s="50">
        <f t="shared" si="0"/>
        <v>46051</v>
      </c>
      <c r="AE1" s="50">
        <f t="shared" si="0"/>
        <v>46052</v>
      </c>
      <c r="AF1" s="51">
        <f t="shared" si="0"/>
        <v>46053</v>
      </c>
      <c r="AG1" s="1" t="s">
        <v>77</v>
      </c>
      <c r="AH1" s="1" t="s">
        <v>78</v>
      </c>
      <c r="AI1" s="1" t="s">
        <v>79</v>
      </c>
      <c r="AJ1" s="1" t="s">
        <v>80</v>
      </c>
      <c r="AK1" s="1" t="s">
        <v>81</v>
      </c>
      <c r="AL1" s="1" t="s">
        <v>82</v>
      </c>
      <c r="AM1" s="1" t="s">
        <v>83</v>
      </c>
      <c r="AN1" s="1" t="s">
        <v>84</v>
      </c>
    </row>
    <row r="2" ht="13" spans="1:40">
      <c r="A2" s="8" t="s">
        <v>21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18">
        <f t="shared" ref="AG2:AG56" si="1">COUNTIF(B2:AF2,"早")</f>
        <v>0</v>
      </c>
      <c r="AH2" s="18">
        <f t="shared" ref="AH2:AH56" si="2">COUNTIF(B2:AF2,"日")</f>
        <v>0</v>
      </c>
      <c r="AI2" s="18">
        <f t="shared" ref="AI2:AI56" si="3">COUNTIF(B2:AF2,"遅")</f>
        <v>0</v>
      </c>
      <c r="AJ2" s="18">
        <f t="shared" ref="AJ2:AJ56" si="4">COUNTIF(B2:AF2,"夜")</f>
        <v>0</v>
      </c>
      <c r="AK2" s="18">
        <f t="shared" ref="AK2:AK56" si="5">COUNTIF(B2:AF2,"明")</f>
        <v>0</v>
      </c>
      <c r="AL2" s="18">
        <f t="shared" ref="AL2:AL56" si="6">COUNTIF(B2:AF2,"*休*")</f>
        <v>0</v>
      </c>
      <c r="AM2" s="18">
        <f t="shared" ref="AM2:AM56" si="7">AG2+AH2+AI2+AJ2</f>
        <v>0</v>
      </c>
      <c r="AN2" s="18">
        <f t="shared" ref="AN2:AN56" si="8">COUNTIF(B2:AF2,"日")</f>
        <v>0</v>
      </c>
    </row>
    <row r="3" ht="13" spans="1:40">
      <c r="A3" s="6" t="s">
        <v>85</v>
      </c>
      <c r="C3" s="12"/>
      <c r="D3" s="12"/>
      <c r="E3" s="12"/>
      <c r="F3" s="12"/>
      <c r="H3" s="12"/>
      <c r="I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G3" s="18">
        <f t="shared" si="1"/>
        <v>0</v>
      </c>
      <c r="AH3" s="18">
        <f t="shared" si="2"/>
        <v>0</v>
      </c>
      <c r="AI3" s="18">
        <f t="shared" si="3"/>
        <v>0</v>
      </c>
      <c r="AJ3" s="18">
        <f t="shared" si="4"/>
        <v>0</v>
      </c>
      <c r="AK3" s="18">
        <f t="shared" si="5"/>
        <v>0</v>
      </c>
      <c r="AL3" s="18">
        <f t="shared" si="6"/>
        <v>0</v>
      </c>
      <c r="AM3" s="18">
        <f t="shared" si="7"/>
        <v>0</v>
      </c>
      <c r="AN3" s="18">
        <f t="shared" si="8"/>
        <v>0</v>
      </c>
    </row>
    <row r="4" ht="13" spans="1:40">
      <c r="A4" s="6" t="s">
        <v>86</v>
      </c>
      <c r="D4" s="12"/>
      <c r="E4" s="12"/>
      <c r="F4" s="12"/>
      <c r="G4" s="12"/>
      <c r="H4" s="12"/>
      <c r="I4" s="12"/>
      <c r="J4" s="12"/>
      <c r="N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8">
        <f t="shared" si="1"/>
        <v>0</v>
      </c>
      <c r="AH4" s="18">
        <f t="shared" si="2"/>
        <v>0</v>
      </c>
      <c r="AI4" s="18">
        <f t="shared" si="3"/>
        <v>0</v>
      </c>
      <c r="AJ4" s="18">
        <f t="shared" si="4"/>
        <v>0</v>
      </c>
      <c r="AK4" s="18">
        <f t="shared" si="5"/>
        <v>0</v>
      </c>
      <c r="AL4" s="18">
        <f t="shared" si="6"/>
        <v>0</v>
      </c>
      <c r="AM4" s="18">
        <f t="shared" si="7"/>
        <v>0</v>
      </c>
      <c r="AN4" s="18">
        <f t="shared" si="8"/>
        <v>0</v>
      </c>
    </row>
    <row r="5" ht="13" spans="1:40">
      <c r="A5" s="8" t="s">
        <v>87</v>
      </c>
      <c r="B5" s="5"/>
      <c r="C5" s="9"/>
      <c r="D5" s="9"/>
      <c r="E5" s="9"/>
      <c r="F5" s="9"/>
      <c r="G5" s="12"/>
      <c r="H5" s="12"/>
      <c r="I5" s="12"/>
      <c r="J5" s="12"/>
      <c r="K5" s="12"/>
      <c r="M5" s="12"/>
      <c r="N5" s="12"/>
      <c r="O5" s="9"/>
      <c r="P5" s="9"/>
      <c r="Q5" s="9"/>
      <c r="R5" s="12"/>
      <c r="S5" s="12"/>
      <c r="T5" s="12"/>
      <c r="U5" s="12"/>
      <c r="V5" s="12"/>
      <c r="W5" s="12"/>
      <c r="X5" s="12"/>
      <c r="Y5" s="9"/>
      <c r="Z5" s="9"/>
      <c r="AA5" s="9"/>
      <c r="AB5" s="12"/>
      <c r="AC5" s="12"/>
      <c r="AD5" s="12"/>
      <c r="AE5" s="12"/>
      <c r="AF5" s="12"/>
      <c r="AG5" s="18">
        <f t="shared" si="1"/>
        <v>0</v>
      </c>
      <c r="AH5" s="18">
        <f t="shared" si="2"/>
        <v>0</v>
      </c>
      <c r="AI5" s="18">
        <f t="shared" si="3"/>
        <v>0</v>
      </c>
      <c r="AJ5" s="18">
        <f t="shared" si="4"/>
        <v>0</v>
      </c>
      <c r="AK5" s="18">
        <f t="shared" si="5"/>
        <v>0</v>
      </c>
      <c r="AL5" s="18">
        <f t="shared" si="6"/>
        <v>0</v>
      </c>
      <c r="AM5" s="18">
        <f t="shared" si="7"/>
        <v>0</v>
      </c>
      <c r="AN5" s="18">
        <f t="shared" si="8"/>
        <v>0</v>
      </c>
    </row>
    <row r="6" ht="13" spans="1:40">
      <c r="A6" s="6" t="s">
        <v>88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12"/>
      <c r="N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8">
        <f t="shared" si="1"/>
        <v>0</v>
      </c>
      <c r="AH6" s="18">
        <f t="shared" si="2"/>
        <v>0</v>
      </c>
      <c r="AI6" s="18">
        <f t="shared" si="3"/>
        <v>0</v>
      </c>
      <c r="AJ6" s="18">
        <f t="shared" si="4"/>
        <v>0</v>
      </c>
      <c r="AK6" s="18">
        <f t="shared" si="5"/>
        <v>0</v>
      </c>
      <c r="AL6" s="18">
        <f t="shared" si="6"/>
        <v>0</v>
      </c>
      <c r="AM6" s="18">
        <f t="shared" si="7"/>
        <v>0</v>
      </c>
      <c r="AN6" s="18">
        <f t="shared" si="8"/>
        <v>0</v>
      </c>
    </row>
    <row r="7" ht="13" spans="1:40">
      <c r="A7" s="6" t="s">
        <v>89</v>
      </c>
      <c r="B7" s="5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R7" s="12"/>
      <c r="S7" s="12"/>
      <c r="T7" s="12"/>
      <c r="V7" s="12"/>
      <c r="W7" s="12"/>
      <c r="X7" s="12"/>
      <c r="Y7" s="12"/>
      <c r="Z7" s="9"/>
      <c r="AA7" s="12"/>
      <c r="AB7" s="12"/>
      <c r="AC7" s="12"/>
      <c r="AD7" s="12"/>
      <c r="AE7" s="12"/>
      <c r="AF7" s="12"/>
      <c r="AG7" s="18">
        <f t="shared" si="1"/>
        <v>0</v>
      </c>
      <c r="AH7" s="18">
        <f t="shared" si="2"/>
        <v>0</v>
      </c>
      <c r="AI7" s="18">
        <f t="shared" si="3"/>
        <v>0</v>
      </c>
      <c r="AJ7" s="18">
        <f t="shared" si="4"/>
        <v>0</v>
      </c>
      <c r="AK7" s="18">
        <f t="shared" si="5"/>
        <v>0</v>
      </c>
      <c r="AL7" s="18">
        <f t="shared" si="6"/>
        <v>0</v>
      </c>
      <c r="AM7" s="18">
        <f t="shared" si="7"/>
        <v>0</v>
      </c>
      <c r="AN7" s="18">
        <f t="shared" si="8"/>
        <v>0</v>
      </c>
    </row>
    <row r="8" ht="13" spans="1:40">
      <c r="A8" s="6" t="s">
        <v>90</v>
      </c>
      <c r="B8" s="5"/>
      <c r="C8" s="5"/>
      <c r="D8" s="5"/>
      <c r="F8" s="12"/>
      <c r="G8" s="12"/>
      <c r="H8" s="12"/>
      <c r="I8" s="12"/>
      <c r="J8" s="12"/>
      <c r="L8" s="12"/>
      <c r="M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9"/>
      <c r="AF8" s="9"/>
      <c r="AG8" s="18">
        <f t="shared" si="1"/>
        <v>0</v>
      </c>
      <c r="AH8" s="18">
        <f t="shared" si="2"/>
        <v>0</v>
      </c>
      <c r="AI8" s="18">
        <f t="shared" si="3"/>
        <v>0</v>
      </c>
      <c r="AJ8" s="18">
        <f t="shared" si="4"/>
        <v>0</v>
      </c>
      <c r="AK8" s="18">
        <f t="shared" si="5"/>
        <v>0</v>
      </c>
      <c r="AL8" s="18">
        <f t="shared" si="6"/>
        <v>0</v>
      </c>
      <c r="AM8" s="18">
        <f t="shared" si="7"/>
        <v>0</v>
      </c>
      <c r="AN8" s="18">
        <f t="shared" si="8"/>
        <v>0</v>
      </c>
    </row>
    <row r="9" ht="13" spans="1:40">
      <c r="A9" s="6" t="s">
        <v>91</v>
      </c>
      <c r="B9" s="5"/>
      <c r="F9" s="12"/>
      <c r="G9" t="s">
        <v>92</v>
      </c>
      <c r="H9" s="12"/>
      <c r="I9" s="12"/>
      <c r="J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9"/>
      <c r="Z9" s="9"/>
      <c r="AA9" s="9"/>
      <c r="AB9" s="12"/>
      <c r="AC9" s="12"/>
      <c r="AD9" s="12"/>
      <c r="AE9" s="12"/>
      <c r="AF9" s="12"/>
      <c r="AG9" s="18">
        <f t="shared" si="1"/>
        <v>0</v>
      </c>
      <c r="AH9" s="18">
        <f t="shared" si="2"/>
        <v>0</v>
      </c>
      <c r="AI9" s="18">
        <f t="shared" si="3"/>
        <v>0</v>
      </c>
      <c r="AJ9" s="18">
        <f t="shared" si="4"/>
        <v>0</v>
      </c>
      <c r="AK9" s="18">
        <f t="shared" si="5"/>
        <v>0</v>
      </c>
      <c r="AL9" s="18">
        <f t="shared" si="6"/>
        <v>1</v>
      </c>
      <c r="AM9" s="18">
        <f t="shared" si="7"/>
        <v>0</v>
      </c>
      <c r="AN9" s="18">
        <f t="shared" si="8"/>
        <v>0</v>
      </c>
    </row>
    <row r="10" ht="13" spans="1:40">
      <c r="A10" s="11" t="s">
        <v>93</v>
      </c>
      <c r="B10" s="5"/>
      <c r="C10" s="12"/>
      <c r="D10" s="12"/>
      <c r="E10" s="12"/>
      <c r="F10" s="12"/>
      <c r="G10" s="12"/>
      <c r="H10" s="12"/>
      <c r="I10" s="12"/>
      <c r="J10" s="12"/>
      <c r="K10" s="12"/>
      <c r="M10" s="12"/>
      <c r="N10" s="12"/>
      <c r="O10" s="12"/>
      <c r="P10" s="12"/>
      <c r="Q10" s="12"/>
      <c r="R10" s="12"/>
      <c r="S10" s="9"/>
      <c r="T10" s="9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8">
        <f t="shared" si="1"/>
        <v>0</v>
      </c>
      <c r="AH10" s="18">
        <f t="shared" si="2"/>
        <v>0</v>
      </c>
      <c r="AI10" s="18">
        <f t="shared" si="3"/>
        <v>0</v>
      </c>
      <c r="AJ10" s="18">
        <f t="shared" si="4"/>
        <v>0</v>
      </c>
      <c r="AK10" s="18">
        <f t="shared" si="5"/>
        <v>0</v>
      </c>
      <c r="AL10" s="18">
        <f t="shared" si="6"/>
        <v>0</v>
      </c>
      <c r="AM10" s="18">
        <f t="shared" si="7"/>
        <v>0</v>
      </c>
      <c r="AN10" s="18">
        <f t="shared" si="8"/>
        <v>0</v>
      </c>
    </row>
    <row r="11" ht="13" spans="1:40">
      <c r="A11" s="6" t="s">
        <v>31</v>
      </c>
      <c r="D11" s="12"/>
      <c r="E11" s="12"/>
      <c r="H11" s="12"/>
      <c r="I11" s="12"/>
      <c r="J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D11" s="12"/>
      <c r="AE11" s="9"/>
      <c r="AF11" s="9"/>
      <c r="AG11" s="18">
        <f t="shared" si="1"/>
        <v>0</v>
      </c>
      <c r="AH11" s="18">
        <f t="shared" si="2"/>
        <v>0</v>
      </c>
      <c r="AI11" s="18">
        <f t="shared" si="3"/>
        <v>0</v>
      </c>
      <c r="AJ11" s="18">
        <f t="shared" si="4"/>
        <v>0</v>
      </c>
      <c r="AK11" s="18">
        <f t="shared" si="5"/>
        <v>0</v>
      </c>
      <c r="AL11" s="18">
        <f t="shared" si="6"/>
        <v>0</v>
      </c>
      <c r="AM11" s="18">
        <f t="shared" si="7"/>
        <v>0</v>
      </c>
      <c r="AN11" s="18">
        <f t="shared" si="8"/>
        <v>0</v>
      </c>
    </row>
    <row r="12" ht="13" spans="1:40">
      <c r="A12" s="6" t="s">
        <v>32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G12" s="18">
        <f t="shared" si="1"/>
        <v>0</v>
      </c>
      <c r="AH12" s="18">
        <f t="shared" si="2"/>
        <v>0</v>
      </c>
      <c r="AI12" s="18">
        <f t="shared" si="3"/>
        <v>0</v>
      </c>
      <c r="AJ12" s="18">
        <f t="shared" si="4"/>
        <v>0</v>
      </c>
      <c r="AK12" s="18">
        <f t="shared" si="5"/>
        <v>0</v>
      </c>
      <c r="AL12" s="18">
        <f t="shared" si="6"/>
        <v>0</v>
      </c>
      <c r="AM12" s="18">
        <f t="shared" si="7"/>
        <v>0</v>
      </c>
      <c r="AN12" s="18">
        <f t="shared" si="8"/>
        <v>0</v>
      </c>
    </row>
    <row r="13" ht="13" spans="1:40">
      <c r="A13" s="6" t="s">
        <v>33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W13" s="12"/>
      <c r="X13" s="12"/>
      <c r="Y13" s="12"/>
      <c r="Z13" s="12"/>
      <c r="AC13" s="12"/>
      <c r="AD13" s="12"/>
      <c r="AE13" s="12"/>
      <c r="AG13" s="18">
        <f t="shared" si="1"/>
        <v>0</v>
      </c>
      <c r="AH13" s="18">
        <f t="shared" si="2"/>
        <v>0</v>
      </c>
      <c r="AI13" s="18">
        <f t="shared" si="3"/>
        <v>0</v>
      </c>
      <c r="AJ13" s="18">
        <f t="shared" si="4"/>
        <v>0</v>
      </c>
      <c r="AK13" s="18">
        <f t="shared" si="5"/>
        <v>0</v>
      </c>
      <c r="AL13" s="18">
        <f t="shared" si="6"/>
        <v>0</v>
      </c>
      <c r="AM13" s="18">
        <f t="shared" si="7"/>
        <v>0</v>
      </c>
      <c r="AN13" s="18">
        <f t="shared" si="8"/>
        <v>0</v>
      </c>
    </row>
    <row r="14" ht="13" spans="1:40">
      <c r="A14" s="8" t="s">
        <v>34</v>
      </c>
      <c r="B14" s="12"/>
      <c r="C14" s="12"/>
      <c r="D14" s="12"/>
      <c r="E14" s="12"/>
      <c r="F14" s="12"/>
      <c r="H14" s="12"/>
      <c r="I14" s="12"/>
      <c r="J14" s="12"/>
      <c r="K14" s="12"/>
      <c r="L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8">
        <f t="shared" si="1"/>
        <v>0</v>
      </c>
      <c r="AH14" s="18">
        <f t="shared" si="2"/>
        <v>0</v>
      </c>
      <c r="AI14" s="18">
        <f t="shared" si="3"/>
        <v>0</v>
      </c>
      <c r="AJ14" s="18">
        <f t="shared" si="4"/>
        <v>0</v>
      </c>
      <c r="AK14" s="18">
        <f t="shared" si="5"/>
        <v>0</v>
      </c>
      <c r="AL14" s="18">
        <f t="shared" si="6"/>
        <v>0</v>
      </c>
      <c r="AM14" s="18">
        <f t="shared" si="7"/>
        <v>0</v>
      </c>
      <c r="AN14" s="18">
        <f t="shared" si="8"/>
        <v>0</v>
      </c>
    </row>
    <row r="15" ht="13" spans="1:40">
      <c r="A15" s="6" t="s">
        <v>35</v>
      </c>
      <c r="B15" s="12"/>
      <c r="C15" s="12"/>
      <c r="D15" s="12"/>
      <c r="E15" t="s">
        <v>94</v>
      </c>
      <c r="F15" s="12"/>
      <c r="G15" s="12"/>
      <c r="H15" s="12"/>
      <c r="I15" s="12"/>
      <c r="K15" s="12"/>
      <c r="L15" s="12"/>
      <c r="M15" s="12"/>
      <c r="N15" s="12"/>
      <c r="O15" s="12"/>
      <c r="P15" s="12"/>
      <c r="Q15" s="12"/>
      <c r="R15" s="12"/>
      <c r="S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8">
        <f t="shared" si="1"/>
        <v>0</v>
      </c>
      <c r="AH15" s="18">
        <f t="shared" si="2"/>
        <v>0</v>
      </c>
      <c r="AI15" s="18">
        <f t="shared" si="3"/>
        <v>0</v>
      </c>
      <c r="AJ15" s="18">
        <f t="shared" si="4"/>
        <v>0</v>
      </c>
      <c r="AK15" s="18">
        <f t="shared" si="5"/>
        <v>0</v>
      </c>
      <c r="AL15" s="18">
        <f t="shared" si="6"/>
        <v>0</v>
      </c>
      <c r="AM15" s="18">
        <f t="shared" si="7"/>
        <v>0</v>
      </c>
      <c r="AN15" s="18">
        <f t="shared" si="8"/>
        <v>0</v>
      </c>
    </row>
    <row r="16" ht="13" spans="1:40">
      <c r="A16" s="8" t="s">
        <v>36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AA16" s="12"/>
      <c r="AB16" s="12"/>
      <c r="AC16" s="12"/>
      <c r="AE16" s="9"/>
      <c r="AF16" s="9"/>
      <c r="AG16" s="18">
        <f t="shared" si="1"/>
        <v>0</v>
      </c>
      <c r="AH16" s="18">
        <f t="shared" si="2"/>
        <v>0</v>
      </c>
      <c r="AI16" s="18">
        <f t="shared" si="3"/>
        <v>0</v>
      </c>
      <c r="AJ16" s="18">
        <f t="shared" si="4"/>
        <v>0</v>
      </c>
      <c r="AK16" s="18">
        <f t="shared" si="5"/>
        <v>0</v>
      </c>
      <c r="AL16" s="18">
        <f t="shared" si="6"/>
        <v>0</v>
      </c>
      <c r="AM16" s="18">
        <f t="shared" si="7"/>
        <v>0</v>
      </c>
      <c r="AN16" s="18">
        <f t="shared" si="8"/>
        <v>0</v>
      </c>
    </row>
    <row r="17" ht="13" spans="1:40">
      <c r="A17" s="11" t="s">
        <v>37</v>
      </c>
      <c r="C17" s="12"/>
      <c r="D17" s="12"/>
      <c r="E17" s="12"/>
      <c r="F17" t="s">
        <v>95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8">
        <f t="shared" si="1"/>
        <v>0</v>
      </c>
      <c r="AH17" s="18">
        <f t="shared" si="2"/>
        <v>0</v>
      </c>
      <c r="AI17" s="18">
        <f t="shared" si="3"/>
        <v>0</v>
      </c>
      <c r="AJ17" s="18">
        <f t="shared" si="4"/>
        <v>0</v>
      </c>
      <c r="AK17" s="18">
        <f t="shared" si="5"/>
        <v>0</v>
      </c>
      <c r="AL17" s="18">
        <f t="shared" si="6"/>
        <v>0</v>
      </c>
      <c r="AM17" s="18">
        <f t="shared" si="7"/>
        <v>0</v>
      </c>
      <c r="AN17" s="18">
        <f t="shared" si="8"/>
        <v>0</v>
      </c>
    </row>
    <row r="18" ht="13" spans="1:40">
      <c r="A18" s="6" t="s">
        <v>40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V18" s="12"/>
      <c r="W18" s="12"/>
      <c r="Y18" s="12"/>
      <c r="Z18" s="12"/>
      <c r="AA18" s="9"/>
      <c r="AB18" s="9"/>
      <c r="AD18" s="12"/>
      <c r="AE18" s="12"/>
      <c r="AF18" s="12"/>
      <c r="AG18" s="18">
        <f t="shared" si="1"/>
        <v>0</v>
      </c>
      <c r="AH18" s="18">
        <f t="shared" si="2"/>
        <v>0</v>
      </c>
      <c r="AI18" s="18">
        <f t="shared" si="3"/>
        <v>0</v>
      </c>
      <c r="AJ18" s="18">
        <f t="shared" si="4"/>
        <v>0</v>
      </c>
      <c r="AK18" s="18">
        <f t="shared" si="5"/>
        <v>0</v>
      </c>
      <c r="AL18" s="18">
        <f t="shared" si="6"/>
        <v>0</v>
      </c>
      <c r="AM18" s="18">
        <f t="shared" si="7"/>
        <v>0</v>
      </c>
      <c r="AN18" s="18">
        <f t="shared" si="8"/>
        <v>0</v>
      </c>
    </row>
    <row r="19" ht="13" spans="1:40">
      <c r="A19" s="11" t="s">
        <v>69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W19" s="12"/>
      <c r="X19" s="12"/>
      <c r="Y19" s="12"/>
      <c r="Z19" s="12"/>
      <c r="AA19" s="12"/>
      <c r="AB19" s="12"/>
      <c r="AE19" s="12"/>
      <c r="AF19" s="17"/>
      <c r="AG19" s="18">
        <f t="shared" si="1"/>
        <v>0</v>
      </c>
      <c r="AH19" s="18">
        <f t="shared" si="2"/>
        <v>0</v>
      </c>
      <c r="AI19" s="18">
        <f t="shared" si="3"/>
        <v>0</v>
      </c>
      <c r="AJ19" s="18">
        <f t="shared" si="4"/>
        <v>0</v>
      </c>
      <c r="AK19" s="18">
        <f t="shared" si="5"/>
        <v>0</v>
      </c>
      <c r="AL19" s="18">
        <f t="shared" si="6"/>
        <v>0</v>
      </c>
      <c r="AM19" s="18">
        <f t="shared" si="7"/>
        <v>0</v>
      </c>
      <c r="AN19" s="18">
        <f t="shared" si="8"/>
        <v>0</v>
      </c>
    </row>
    <row r="20" ht="13" spans="1:40">
      <c r="A20" s="6" t="s">
        <v>38</v>
      </c>
      <c r="B20" s="12"/>
      <c r="C20" s="12"/>
      <c r="D20" s="12"/>
      <c r="E20" s="12"/>
      <c r="F20" s="12"/>
      <c r="G20" s="12"/>
      <c r="H20" s="12"/>
      <c r="I20" s="12"/>
      <c r="J20" s="12"/>
      <c r="L20" s="12"/>
      <c r="M20" s="12"/>
      <c r="N20" s="12"/>
      <c r="O20" s="12"/>
      <c r="P20" s="12"/>
      <c r="Q20" s="12"/>
      <c r="S20" s="12"/>
      <c r="T20" s="9"/>
      <c r="U20" s="9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8">
        <f t="shared" si="1"/>
        <v>0</v>
      </c>
      <c r="AH20" s="18">
        <f t="shared" si="2"/>
        <v>0</v>
      </c>
      <c r="AI20" s="18">
        <f t="shared" si="3"/>
        <v>0</v>
      </c>
      <c r="AJ20" s="18">
        <f t="shared" si="4"/>
        <v>0</v>
      </c>
      <c r="AK20" s="18">
        <f t="shared" si="5"/>
        <v>0</v>
      </c>
      <c r="AL20" s="18">
        <f t="shared" si="6"/>
        <v>0</v>
      </c>
      <c r="AM20" s="18">
        <f t="shared" si="7"/>
        <v>0</v>
      </c>
      <c r="AN20" s="18">
        <f t="shared" si="8"/>
        <v>0</v>
      </c>
    </row>
    <row r="21" ht="13" spans="1:40">
      <c r="A21" s="6" t="s">
        <v>96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9"/>
      <c r="U21" s="9"/>
      <c r="W21" s="12"/>
      <c r="X21" s="12"/>
      <c r="Z21" s="12"/>
      <c r="AA21" s="12"/>
      <c r="AB21" s="12"/>
      <c r="AC21" s="12"/>
      <c r="AD21" s="12"/>
      <c r="AE21" s="12"/>
      <c r="AF21" s="12"/>
      <c r="AG21" s="18">
        <f t="shared" si="1"/>
        <v>0</v>
      </c>
      <c r="AH21" s="18">
        <f t="shared" si="2"/>
        <v>0</v>
      </c>
      <c r="AI21" s="18">
        <f t="shared" si="3"/>
        <v>0</v>
      </c>
      <c r="AJ21" s="18">
        <f t="shared" si="4"/>
        <v>0</v>
      </c>
      <c r="AK21" s="18">
        <f t="shared" si="5"/>
        <v>0</v>
      </c>
      <c r="AL21" s="18">
        <f t="shared" si="6"/>
        <v>0</v>
      </c>
      <c r="AM21" s="18">
        <f t="shared" si="7"/>
        <v>0</v>
      </c>
      <c r="AN21" s="18">
        <f t="shared" si="8"/>
        <v>0</v>
      </c>
    </row>
    <row r="22" ht="13" spans="1:40">
      <c r="A22" s="11" t="s">
        <v>23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8">
        <f t="shared" si="1"/>
        <v>0</v>
      </c>
      <c r="AH22" s="18">
        <f t="shared" si="2"/>
        <v>0</v>
      </c>
      <c r="AI22" s="18">
        <f t="shared" si="3"/>
        <v>0</v>
      </c>
      <c r="AJ22" s="18">
        <f t="shared" si="4"/>
        <v>0</v>
      </c>
      <c r="AK22" s="18">
        <f t="shared" si="5"/>
        <v>0</v>
      </c>
      <c r="AL22" s="18">
        <f t="shared" si="6"/>
        <v>0</v>
      </c>
      <c r="AM22" s="18">
        <f t="shared" si="7"/>
        <v>0</v>
      </c>
      <c r="AN22" s="18">
        <f t="shared" si="8"/>
        <v>0</v>
      </c>
    </row>
    <row r="23" ht="13" spans="1:40">
      <c r="A23" s="6" t="s">
        <v>97</v>
      </c>
      <c r="E23" s="12"/>
      <c r="G23" s="12"/>
      <c r="H23" s="12"/>
      <c r="I23" s="12"/>
      <c r="J23" s="12"/>
      <c r="L23" s="12"/>
      <c r="O23" s="12"/>
      <c r="P23" s="12"/>
      <c r="Q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9"/>
      <c r="AG23" s="18">
        <f t="shared" si="1"/>
        <v>0</v>
      </c>
      <c r="AH23" s="18">
        <f t="shared" si="2"/>
        <v>0</v>
      </c>
      <c r="AI23" s="18">
        <f t="shared" si="3"/>
        <v>0</v>
      </c>
      <c r="AJ23" s="18">
        <f t="shared" si="4"/>
        <v>0</v>
      </c>
      <c r="AK23" s="18">
        <f t="shared" si="5"/>
        <v>0</v>
      </c>
      <c r="AL23" s="18">
        <f t="shared" si="6"/>
        <v>0</v>
      </c>
      <c r="AM23" s="18">
        <f t="shared" si="7"/>
        <v>0</v>
      </c>
      <c r="AN23" s="18">
        <f t="shared" si="8"/>
        <v>0</v>
      </c>
    </row>
    <row r="24" ht="13" spans="1:40">
      <c r="A24" s="11" t="s">
        <v>42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8">
        <f t="shared" si="1"/>
        <v>0</v>
      </c>
      <c r="AH24" s="18">
        <f t="shared" si="2"/>
        <v>0</v>
      </c>
      <c r="AI24" s="18">
        <f t="shared" si="3"/>
        <v>0</v>
      </c>
      <c r="AJ24" s="18">
        <f t="shared" si="4"/>
        <v>0</v>
      </c>
      <c r="AK24" s="18">
        <f t="shared" si="5"/>
        <v>0</v>
      </c>
      <c r="AL24" s="18">
        <f t="shared" si="6"/>
        <v>0</v>
      </c>
      <c r="AM24" s="18">
        <f t="shared" si="7"/>
        <v>0</v>
      </c>
      <c r="AN24" s="18">
        <f t="shared" si="8"/>
        <v>0</v>
      </c>
    </row>
    <row r="25" ht="13" spans="1:40">
      <c r="A25" s="6" t="s">
        <v>43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9"/>
      <c r="AB25" s="12"/>
      <c r="AC25" s="12"/>
      <c r="AD25" s="12"/>
      <c r="AE25" s="12"/>
      <c r="AF25" s="12"/>
      <c r="AG25" s="18">
        <f t="shared" si="1"/>
        <v>0</v>
      </c>
      <c r="AH25" s="18">
        <f t="shared" si="2"/>
        <v>0</v>
      </c>
      <c r="AI25" s="18">
        <f t="shared" si="3"/>
        <v>0</v>
      </c>
      <c r="AJ25" s="18">
        <f t="shared" si="4"/>
        <v>0</v>
      </c>
      <c r="AK25" s="18">
        <f t="shared" si="5"/>
        <v>0</v>
      </c>
      <c r="AL25" s="18">
        <f t="shared" si="6"/>
        <v>0</v>
      </c>
      <c r="AM25" s="18">
        <f t="shared" si="7"/>
        <v>0</v>
      </c>
      <c r="AN25" s="18">
        <f t="shared" si="8"/>
        <v>0</v>
      </c>
    </row>
    <row r="26" ht="13" spans="1:40">
      <c r="A26" s="11" t="s">
        <v>98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AB26" s="12"/>
      <c r="AC26" s="12"/>
      <c r="AD26" s="12"/>
      <c r="AE26" s="9"/>
      <c r="AF26" s="9"/>
      <c r="AG26" s="18">
        <f t="shared" si="1"/>
        <v>0</v>
      </c>
      <c r="AH26" s="18">
        <f t="shared" si="2"/>
        <v>0</v>
      </c>
      <c r="AI26" s="18">
        <f t="shared" si="3"/>
        <v>0</v>
      </c>
      <c r="AJ26" s="18">
        <f t="shared" si="4"/>
        <v>0</v>
      </c>
      <c r="AK26" s="18">
        <f t="shared" si="5"/>
        <v>0</v>
      </c>
      <c r="AL26" s="18">
        <f t="shared" si="6"/>
        <v>0</v>
      </c>
      <c r="AM26" s="18">
        <f t="shared" si="7"/>
        <v>0</v>
      </c>
      <c r="AN26" s="18">
        <f t="shared" si="8"/>
        <v>0</v>
      </c>
    </row>
    <row r="27" ht="13" spans="1:40">
      <c r="A27" s="6" t="s">
        <v>45</v>
      </c>
      <c r="B27" s="12"/>
      <c r="C27" s="12"/>
      <c r="D27" s="12"/>
      <c r="F27" s="12"/>
      <c r="G27" s="12"/>
      <c r="I27" s="12"/>
      <c r="J27" s="12"/>
      <c r="K27" s="12"/>
      <c r="L27" s="12"/>
      <c r="N27" s="12"/>
      <c r="O27" s="12"/>
      <c r="P27" s="12"/>
      <c r="Q27" s="12"/>
      <c r="R27" s="12"/>
      <c r="S27" s="12"/>
      <c r="T27" s="12"/>
      <c r="U27" s="12"/>
      <c r="W27" s="12"/>
      <c r="X27" s="12"/>
      <c r="Z27" s="12"/>
      <c r="AA27" s="12"/>
      <c r="AB27" s="12"/>
      <c r="AD27" s="12"/>
      <c r="AE27" s="12"/>
      <c r="AF27" s="12"/>
      <c r="AG27" s="18">
        <f t="shared" si="1"/>
        <v>0</v>
      </c>
      <c r="AH27" s="18">
        <f t="shared" si="2"/>
        <v>0</v>
      </c>
      <c r="AI27" s="18">
        <f t="shared" si="3"/>
        <v>0</v>
      </c>
      <c r="AJ27" s="18">
        <f t="shared" si="4"/>
        <v>0</v>
      </c>
      <c r="AK27" s="18">
        <f t="shared" si="5"/>
        <v>0</v>
      </c>
      <c r="AL27" s="18">
        <f t="shared" si="6"/>
        <v>0</v>
      </c>
      <c r="AM27" s="18">
        <f t="shared" si="7"/>
        <v>0</v>
      </c>
      <c r="AN27" s="18">
        <f t="shared" si="8"/>
        <v>0</v>
      </c>
    </row>
    <row r="28" ht="13" spans="1:40">
      <c r="A28" s="6" t="s">
        <v>99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9"/>
      <c r="AF28" s="9"/>
      <c r="AG28" s="18">
        <f t="shared" si="1"/>
        <v>0</v>
      </c>
      <c r="AH28" s="18">
        <f t="shared" si="2"/>
        <v>0</v>
      </c>
      <c r="AI28" s="18">
        <f t="shared" si="3"/>
        <v>0</v>
      </c>
      <c r="AJ28" s="18">
        <f t="shared" si="4"/>
        <v>0</v>
      </c>
      <c r="AK28" s="18">
        <f t="shared" si="5"/>
        <v>0</v>
      </c>
      <c r="AL28" s="18">
        <f t="shared" si="6"/>
        <v>0</v>
      </c>
      <c r="AM28" s="18">
        <f t="shared" si="7"/>
        <v>0</v>
      </c>
      <c r="AN28" s="18">
        <f t="shared" si="8"/>
        <v>0</v>
      </c>
    </row>
    <row r="29" ht="13" spans="1:40">
      <c r="A29" s="8" t="s">
        <v>48</v>
      </c>
      <c r="B29" s="12"/>
      <c r="C29" s="12"/>
      <c r="D29" s="12"/>
      <c r="E29" s="12"/>
      <c r="F29" s="12"/>
      <c r="G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9"/>
      <c r="X29" s="9"/>
      <c r="Z29" s="12"/>
      <c r="AA29" s="12"/>
      <c r="AB29" s="12"/>
      <c r="AC29" s="12"/>
      <c r="AD29" s="12"/>
      <c r="AE29" s="12"/>
      <c r="AF29" s="12"/>
      <c r="AG29" s="18">
        <f t="shared" si="1"/>
        <v>0</v>
      </c>
      <c r="AH29" s="18">
        <f t="shared" si="2"/>
        <v>0</v>
      </c>
      <c r="AI29" s="18">
        <f t="shared" si="3"/>
        <v>0</v>
      </c>
      <c r="AJ29" s="18">
        <f t="shared" si="4"/>
        <v>0</v>
      </c>
      <c r="AK29" s="18">
        <f t="shared" si="5"/>
        <v>0</v>
      </c>
      <c r="AL29" s="18">
        <f t="shared" si="6"/>
        <v>0</v>
      </c>
      <c r="AM29" s="18">
        <f t="shared" si="7"/>
        <v>0</v>
      </c>
      <c r="AN29" s="18">
        <f t="shared" si="8"/>
        <v>0</v>
      </c>
    </row>
    <row r="30" ht="13" spans="1:40">
      <c r="A30" s="6" t="s">
        <v>46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8">
        <f t="shared" si="1"/>
        <v>0</v>
      </c>
      <c r="AH30" s="18">
        <f t="shared" si="2"/>
        <v>0</v>
      </c>
      <c r="AI30" s="18">
        <f t="shared" si="3"/>
        <v>0</v>
      </c>
      <c r="AJ30" s="18">
        <f t="shared" si="4"/>
        <v>0</v>
      </c>
      <c r="AK30" s="18">
        <f t="shared" si="5"/>
        <v>0</v>
      </c>
      <c r="AL30" s="18">
        <f t="shared" si="6"/>
        <v>0</v>
      </c>
      <c r="AM30" s="18">
        <f t="shared" si="7"/>
        <v>0</v>
      </c>
      <c r="AN30" s="18">
        <f t="shared" si="8"/>
        <v>0</v>
      </c>
    </row>
    <row r="31" ht="13" spans="1:40">
      <c r="A31" s="8" t="s">
        <v>66</v>
      </c>
      <c r="D31" s="12"/>
      <c r="E31" s="12"/>
      <c r="F31" s="12"/>
      <c r="G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W31" s="12"/>
      <c r="X31" s="12"/>
      <c r="Y31" s="12"/>
      <c r="Z31" s="9"/>
      <c r="AA31" s="12"/>
      <c r="AB31" s="12"/>
      <c r="AC31" s="12"/>
      <c r="AD31" s="12"/>
      <c r="AE31" s="12"/>
      <c r="AF31" s="12"/>
      <c r="AG31" s="18">
        <f t="shared" si="1"/>
        <v>0</v>
      </c>
      <c r="AH31" s="18">
        <f t="shared" si="2"/>
        <v>0</v>
      </c>
      <c r="AI31" s="18">
        <f t="shared" si="3"/>
        <v>0</v>
      </c>
      <c r="AJ31" s="18">
        <f t="shared" si="4"/>
        <v>0</v>
      </c>
      <c r="AK31" s="18">
        <f t="shared" si="5"/>
        <v>0</v>
      </c>
      <c r="AL31" s="18">
        <f t="shared" si="6"/>
        <v>0</v>
      </c>
      <c r="AM31" s="18">
        <f t="shared" si="7"/>
        <v>0</v>
      </c>
      <c r="AN31" s="18">
        <f t="shared" si="8"/>
        <v>0</v>
      </c>
    </row>
    <row r="32" ht="13" spans="1:40">
      <c r="A32" s="6" t="s">
        <v>100</v>
      </c>
      <c r="C32" s="12"/>
      <c r="D32" s="12"/>
      <c r="E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AA32" s="12"/>
      <c r="AB32" s="12"/>
      <c r="AC32" s="12"/>
      <c r="AD32" s="12"/>
      <c r="AE32" s="9"/>
      <c r="AF32" s="9"/>
      <c r="AG32" s="18">
        <f t="shared" si="1"/>
        <v>0</v>
      </c>
      <c r="AH32" s="18">
        <f t="shared" si="2"/>
        <v>0</v>
      </c>
      <c r="AI32" s="18">
        <f t="shared" si="3"/>
        <v>0</v>
      </c>
      <c r="AJ32" s="18">
        <f t="shared" si="4"/>
        <v>0</v>
      </c>
      <c r="AK32" s="18">
        <f t="shared" si="5"/>
        <v>0</v>
      </c>
      <c r="AL32" s="18">
        <f t="shared" si="6"/>
        <v>0</v>
      </c>
      <c r="AM32" s="18">
        <f t="shared" si="7"/>
        <v>0</v>
      </c>
      <c r="AN32" s="18">
        <f t="shared" si="8"/>
        <v>0</v>
      </c>
    </row>
    <row r="33" ht="13" spans="1:40">
      <c r="A33" s="8" t="s">
        <v>67</v>
      </c>
      <c r="C33" s="12"/>
      <c r="D33" s="12"/>
      <c r="E33" s="12"/>
      <c r="F33" s="12"/>
      <c r="G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AA33" s="9"/>
      <c r="AB33" s="9"/>
      <c r="AD33" s="12"/>
      <c r="AE33" s="12"/>
      <c r="AF33" s="12"/>
      <c r="AG33" s="18">
        <f t="shared" si="1"/>
        <v>0</v>
      </c>
      <c r="AH33" s="18">
        <f t="shared" si="2"/>
        <v>0</v>
      </c>
      <c r="AI33" s="18">
        <f t="shared" si="3"/>
        <v>0</v>
      </c>
      <c r="AJ33" s="18">
        <f t="shared" si="4"/>
        <v>0</v>
      </c>
      <c r="AK33" s="18">
        <f t="shared" si="5"/>
        <v>0</v>
      </c>
      <c r="AL33" s="18">
        <f t="shared" si="6"/>
        <v>0</v>
      </c>
      <c r="AM33" s="18">
        <f t="shared" si="7"/>
        <v>0</v>
      </c>
      <c r="AN33" s="18">
        <f t="shared" si="8"/>
        <v>0</v>
      </c>
    </row>
    <row r="34" ht="13" spans="1:40">
      <c r="A34" s="6" t="s">
        <v>70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P34" s="12"/>
      <c r="Q34" s="12"/>
      <c r="R34" s="12"/>
      <c r="S34" s="9"/>
      <c r="T34" s="9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8">
        <f t="shared" si="1"/>
        <v>0</v>
      </c>
      <c r="AH34" s="18">
        <f t="shared" si="2"/>
        <v>0</v>
      </c>
      <c r="AI34" s="18">
        <f t="shared" si="3"/>
        <v>0</v>
      </c>
      <c r="AJ34" s="18">
        <f t="shared" si="4"/>
        <v>0</v>
      </c>
      <c r="AK34" s="18">
        <f t="shared" si="5"/>
        <v>0</v>
      </c>
      <c r="AL34" s="18">
        <f t="shared" si="6"/>
        <v>0</v>
      </c>
      <c r="AM34" s="18">
        <f t="shared" si="7"/>
        <v>0</v>
      </c>
      <c r="AN34" s="18">
        <f t="shared" si="8"/>
        <v>0</v>
      </c>
    </row>
    <row r="35" ht="13" spans="1:40">
      <c r="A35" s="6" t="s">
        <v>71</v>
      </c>
      <c r="B35" s="12"/>
      <c r="C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8">
        <f t="shared" si="1"/>
        <v>0</v>
      </c>
      <c r="AH35" s="18">
        <f t="shared" si="2"/>
        <v>0</v>
      </c>
      <c r="AI35" s="18">
        <f t="shared" si="3"/>
        <v>0</v>
      </c>
      <c r="AJ35" s="18">
        <f t="shared" si="4"/>
        <v>0</v>
      </c>
      <c r="AK35" s="18">
        <f t="shared" si="5"/>
        <v>0</v>
      </c>
      <c r="AL35" s="18">
        <f t="shared" si="6"/>
        <v>0</v>
      </c>
      <c r="AM35" s="18">
        <f t="shared" si="7"/>
        <v>0</v>
      </c>
      <c r="AN35" s="18">
        <f t="shared" si="8"/>
        <v>0</v>
      </c>
    </row>
    <row r="36" ht="13" spans="1:40">
      <c r="A36" s="8" t="s">
        <v>101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9"/>
      <c r="W36" s="12"/>
      <c r="X36" s="12"/>
      <c r="Z36" s="12"/>
      <c r="AA36" s="12"/>
      <c r="AB36" s="12"/>
      <c r="AC36" s="12"/>
      <c r="AD36" s="12"/>
      <c r="AE36" s="12"/>
      <c r="AF36" s="12"/>
      <c r="AG36" s="18">
        <f t="shared" si="1"/>
        <v>0</v>
      </c>
      <c r="AH36" s="18">
        <f t="shared" si="2"/>
        <v>0</v>
      </c>
      <c r="AI36" s="18">
        <f t="shared" si="3"/>
        <v>0</v>
      </c>
      <c r="AJ36" s="18">
        <f t="shared" si="4"/>
        <v>0</v>
      </c>
      <c r="AK36" s="18">
        <f t="shared" si="5"/>
        <v>0</v>
      </c>
      <c r="AL36" s="18">
        <f t="shared" si="6"/>
        <v>0</v>
      </c>
      <c r="AM36" s="18">
        <f t="shared" si="7"/>
        <v>0</v>
      </c>
      <c r="AN36" s="18">
        <f t="shared" si="8"/>
        <v>0</v>
      </c>
    </row>
    <row r="37" customHeight="1" spans="1:40">
      <c r="A37" s="8" t="s">
        <v>50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Q37" s="12"/>
      <c r="R37" s="12"/>
      <c r="S37" s="12"/>
      <c r="T37" s="12"/>
      <c r="U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8">
        <f t="shared" si="1"/>
        <v>0</v>
      </c>
      <c r="AH37" s="18">
        <f t="shared" si="2"/>
        <v>0</v>
      </c>
      <c r="AI37" s="18">
        <f t="shared" si="3"/>
        <v>0</v>
      </c>
      <c r="AJ37" s="18">
        <f t="shared" si="4"/>
        <v>0</v>
      </c>
      <c r="AK37" s="18">
        <f t="shared" si="5"/>
        <v>0</v>
      </c>
      <c r="AL37" s="18">
        <f t="shared" si="6"/>
        <v>0</v>
      </c>
      <c r="AM37" s="18">
        <f t="shared" si="7"/>
        <v>0</v>
      </c>
      <c r="AN37" s="18">
        <f t="shared" si="8"/>
        <v>0</v>
      </c>
    </row>
    <row r="38" ht="13" spans="1:40">
      <c r="A38" s="6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8">
        <f t="shared" si="1"/>
        <v>0</v>
      </c>
      <c r="AH38" s="18">
        <f t="shared" si="2"/>
        <v>0</v>
      </c>
      <c r="AI38" s="18">
        <f t="shared" si="3"/>
        <v>0</v>
      </c>
      <c r="AJ38" s="18">
        <f t="shared" si="4"/>
        <v>0</v>
      </c>
      <c r="AK38" s="18">
        <f t="shared" si="5"/>
        <v>0</v>
      </c>
      <c r="AL38" s="18">
        <f t="shared" si="6"/>
        <v>0</v>
      </c>
      <c r="AM38" s="18">
        <f t="shared" si="7"/>
        <v>0</v>
      </c>
      <c r="AN38" s="18">
        <f t="shared" si="8"/>
        <v>0</v>
      </c>
    </row>
    <row r="39" ht="13" spans="1:40">
      <c r="A39" s="11" t="s">
        <v>102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8">
        <f t="shared" si="1"/>
        <v>0</v>
      </c>
      <c r="AH39" s="18">
        <f t="shared" si="2"/>
        <v>0</v>
      </c>
      <c r="AI39" s="18">
        <f t="shared" si="3"/>
        <v>0</v>
      </c>
      <c r="AJ39" s="18">
        <f t="shared" si="4"/>
        <v>0</v>
      </c>
      <c r="AK39" s="18">
        <f t="shared" si="5"/>
        <v>0</v>
      </c>
      <c r="AL39" s="18">
        <f t="shared" si="6"/>
        <v>0</v>
      </c>
      <c r="AM39" s="18">
        <f t="shared" si="7"/>
        <v>0</v>
      </c>
      <c r="AN39" s="18">
        <f t="shared" si="8"/>
        <v>0</v>
      </c>
    </row>
    <row r="40" ht="13" spans="1:40">
      <c r="A40" s="11" t="s">
        <v>103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8">
        <f t="shared" si="1"/>
        <v>0</v>
      </c>
      <c r="AH40" s="18">
        <f t="shared" si="2"/>
        <v>0</v>
      </c>
      <c r="AI40" s="18">
        <f t="shared" si="3"/>
        <v>0</v>
      </c>
      <c r="AJ40" s="18">
        <f t="shared" si="4"/>
        <v>0</v>
      </c>
      <c r="AK40" s="18">
        <f t="shared" si="5"/>
        <v>0</v>
      </c>
      <c r="AL40" s="18">
        <f t="shared" si="6"/>
        <v>0</v>
      </c>
      <c r="AM40" s="18">
        <f t="shared" si="7"/>
        <v>0</v>
      </c>
      <c r="AN40" s="18">
        <f t="shared" si="8"/>
        <v>0</v>
      </c>
    </row>
    <row r="41" ht="13" spans="1:40">
      <c r="A41" s="11" t="s">
        <v>104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8">
        <f t="shared" si="1"/>
        <v>0</v>
      </c>
      <c r="AH41" s="18">
        <f t="shared" si="2"/>
        <v>0</v>
      </c>
      <c r="AI41" s="18">
        <f t="shared" si="3"/>
        <v>0</v>
      </c>
      <c r="AJ41" s="18">
        <f t="shared" si="4"/>
        <v>0</v>
      </c>
      <c r="AK41" s="18">
        <f t="shared" si="5"/>
        <v>0</v>
      </c>
      <c r="AL41" s="18">
        <f t="shared" si="6"/>
        <v>0</v>
      </c>
      <c r="AM41" s="18">
        <f t="shared" si="7"/>
        <v>0</v>
      </c>
      <c r="AN41" s="18">
        <f t="shared" si="8"/>
        <v>0</v>
      </c>
    </row>
    <row r="42" ht="13" spans="1:40">
      <c r="A42" s="11" t="s">
        <v>105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8">
        <f t="shared" si="1"/>
        <v>0</v>
      </c>
      <c r="AH42" s="18">
        <f t="shared" si="2"/>
        <v>0</v>
      </c>
      <c r="AI42" s="18">
        <f t="shared" si="3"/>
        <v>0</v>
      </c>
      <c r="AJ42" s="18">
        <f t="shared" si="4"/>
        <v>0</v>
      </c>
      <c r="AK42" s="18">
        <f t="shared" si="5"/>
        <v>0</v>
      </c>
      <c r="AL42" s="18">
        <f t="shared" si="6"/>
        <v>0</v>
      </c>
      <c r="AM42" s="18">
        <f t="shared" si="7"/>
        <v>0</v>
      </c>
      <c r="AN42" s="18">
        <f t="shared" si="8"/>
        <v>0</v>
      </c>
    </row>
    <row r="43" ht="13" spans="1:40">
      <c r="A43" s="11" t="s">
        <v>106</v>
      </c>
      <c r="B43" s="12"/>
      <c r="C43" s="12"/>
      <c r="D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8">
        <f t="shared" si="1"/>
        <v>0</v>
      </c>
      <c r="AH43" s="18">
        <f t="shared" si="2"/>
        <v>0</v>
      </c>
      <c r="AI43" s="18">
        <f t="shared" si="3"/>
        <v>0</v>
      </c>
      <c r="AJ43" s="18">
        <f t="shared" si="4"/>
        <v>0</v>
      </c>
      <c r="AK43" s="18">
        <f t="shared" si="5"/>
        <v>0</v>
      </c>
      <c r="AL43" s="18">
        <f t="shared" si="6"/>
        <v>0</v>
      </c>
      <c r="AM43" s="18">
        <f t="shared" si="7"/>
        <v>0</v>
      </c>
      <c r="AN43" s="18">
        <f t="shared" si="8"/>
        <v>0</v>
      </c>
    </row>
    <row r="44" ht="13" spans="1:40">
      <c r="A44" s="8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8">
        <f t="shared" si="1"/>
        <v>0</v>
      </c>
      <c r="AH44" s="18">
        <f t="shared" si="2"/>
        <v>0</v>
      </c>
      <c r="AI44" s="18">
        <f t="shared" si="3"/>
        <v>0</v>
      </c>
      <c r="AJ44" s="18">
        <f t="shared" si="4"/>
        <v>0</v>
      </c>
      <c r="AK44" s="18">
        <f t="shared" si="5"/>
        <v>0</v>
      </c>
      <c r="AL44" s="18">
        <f t="shared" si="6"/>
        <v>0</v>
      </c>
      <c r="AM44" s="18">
        <f t="shared" si="7"/>
        <v>0</v>
      </c>
      <c r="AN44" s="18">
        <f t="shared" si="8"/>
        <v>0</v>
      </c>
    </row>
    <row r="45" ht="13" spans="1:40">
      <c r="A45" s="6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8">
        <f t="shared" si="1"/>
        <v>0</v>
      </c>
      <c r="AH45" s="18">
        <f t="shared" si="2"/>
        <v>0</v>
      </c>
      <c r="AI45" s="18">
        <f t="shared" si="3"/>
        <v>0</v>
      </c>
      <c r="AJ45" s="18">
        <f t="shared" si="4"/>
        <v>0</v>
      </c>
      <c r="AK45" s="18">
        <f t="shared" si="5"/>
        <v>0</v>
      </c>
      <c r="AL45" s="18">
        <f t="shared" si="6"/>
        <v>0</v>
      </c>
      <c r="AM45" s="18">
        <f t="shared" si="7"/>
        <v>0</v>
      </c>
      <c r="AN45" s="18">
        <f t="shared" si="8"/>
        <v>0</v>
      </c>
    </row>
    <row r="46" ht="13" spans="1:40">
      <c r="A46" s="8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8">
        <f t="shared" si="1"/>
        <v>0</v>
      </c>
      <c r="AH46" s="18">
        <f t="shared" si="2"/>
        <v>0</v>
      </c>
      <c r="AI46" s="18">
        <f t="shared" si="3"/>
        <v>0</v>
      </c>
      <c r="AJ46" s="18">
        <f t="shared" si="4"/>
        <v>0</v>
      </c>
      <c r="AK46" s="18">
        <f t="shared" si="5"/>
        <v>0</v>
      </c>
      <c r="AL46" s="18">
        <f t="shared" si="6"/>
        <v>0</v>
      </c>
      <c r="AM46" s="18">
        <f t="shared" si="7"/>
        <v>0</v>
      </c>
      <c r="AN46" s="18">
        <f t="shared" si="8"/>
        <v>0</v>
      </c>
    </row>
    <row r="47" ht="13" spans="1:40">
      <c r="A47" s="8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8">
        <f t="shared" si="1"/>
        <v>0</v>
      </c>
      <c r="AH47" s="18">
        <f t="shared" si="2"/>
        <v>0</v>
      </c>
      <c r="AI47" s="18">
        <f t="shared" si="3"/>
        <v>0</v>
      </c>
      <c r="AJ47" s="18">
        <f t="shared" si="4"/>
        <v>0</v>
      </c>
      <c r="AK47" s="18">
        <f t="shared" si="5"/>
        <v>0</v>
      </c>
      <c r="AL47" s="18">
        <f t="shared" si="6"/>
        <v>0</v>
      </c>
      <c r="AM47" s="18">
        <f t="shared" si="7"/>
        <v>0</v>
      </c>
      <c r="AN47" s="18">
        <f t="shared" si="8"/>
        <v>0</v>
      </c>
    </row>
    <row r="48" ht="13" spans="1:40">
      <c r="A48" s="8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8">
        <f t="shared" si="1"/>
        <v>0</v>
      </c>
      <c r="AH48" s="18">
        <f t="shared" si="2"/>
        <v>0</v>
      </c>
      <c r="AI48" s="18">
        <f t="shared" si="3"/>
        <v>0</v>
      </c>
      <c r="AJ48" s="18">
        <f t="shared" si="4"/>
        <v>0</v>
      </c>
      <c r="AK48" s="18">
        <f t="shared" si="5"/>
        <v>0</v>
      </c>
      <c r="AL48" s="18">
        <f t="shared" si="6"/>
        <v>0</v>
      </c>
      <c r="AM48" s="18">
        <f t="shared" si="7"/>
        <v>0</v>
      </c>
      <c r="AN48" s="18">
        <f t="shared" si="8"/>
        <v>0</v>
      </c>
    </row>
    <row r="49" ht="13" spans="1:40">
      <c r="A49" s="1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8">
        <f t="shared" si="1"/>
        <v>0</v>
      </c>
      <c r="AH49" s="18">
        <f t="shared" si="2"/>
        <v>0</v>
      </c>
      <c r="AI49" s="18">
        <f t="shared" si="3"/>
        <v>0</v>
      </c>
      <c r="AJ49" s="18">
        <f t="shared" si="4"/>
        <v>0</v>
      </c>
      <c r="AK49" s="18">
        <f t="shared" si="5"/>
        <v>0</v>
      </c>
      <c r="AL49" s="18">
        <f t="shared" si="6"/>
        <v>0</v>
      </c>
      <c r="AM49" s="18">
        <f t="shared" si="7"/>
        <v>0</v>
      </c>
      <c r="AN49" s="18">
        <f t="shared" si="8"/>
        <v>0</v>
      </c>
    </row>
    <row r="50" ht="13" spans="1:40">
      <c r="A50" s="1" t="s">
        <v>77</v>
      </c>
      <c r="B50" s="14">
        <f t="shared" ref="B50:AF50" si="9">COUNTIF(B$2:B$49,"早")</f>
        <v>0</v>
      </c>
      <c r="C50" s="14">
        <f t="shared" si="9"/>
        <v>0</v>
      </c>
      <c r="D50" s="14">
        <f t="shared" si="9"/>
        <v>0</v>
      </c>
      <c r="E50" s="14">
        <f t="shared" si="9"/>
        <v>0</v>
      </c>
      <c r="F50" s="14">
        <f t="shared" si="9"/>
        <v>0</v>
      </c>
      <c r="G50" s="14">
        <f t="shared" si="9"/>
        <v>0</v>
      </c>
      <c r="H50" s="14">
        <f t="shared" si="9"/>
        <v>0</v>
      </c>
      <c r="I50" s="14">
        <f t="shared" si="9"/>
        <v>0</v>
      </c>
      <c r="J50" s="14">
        <f t="shared" si="9"/>
        <v>0</v>
      </c>
      <c r="K50" s="14">
        <f t="shared" si="9"/>
        <v>0</v>
      </c>
      <c r="L50" s="14">
        <f t="shared" si="9"/>
        <v>0</v>
      </c>
      <c r="M50" s="14">
        <f t="shared" si="9"/>
        <v>0</v>
      </c>
      <c r="N50" s="14">
        <f t="shared" si="9"/>
        <v>0</v>
      </c>
      <c r="O50" s="14">
        <f t="shared" si="9"/>
        <v>0</v>
      </c>
      <c r="P50" s="14">
        <f t="shared" si="9"/>
        <v>0</v>
      </c>
      <c r="Q50" s="14">
        <f t="shared" si="9"/>
        <v>0</v>
      </c>
      <c r="R50" s="14">
        <f t="shared" si="9"/>
        <v>0</v>
      </c>
      <c r="S50" s="14">
        <f t="shared" si="9"/>
        <v>0</v>
      </c>
      <c r="T50" s="14">
        <f t="shared" si="9"/>
        <v>0</v>
      </c>
      <c r="U50" s="14">
        <f t="shared" si="9"/>
        <v>0</v>
      </c>
      <c r="V50" s="14">
        <f t="shared" si="9"/>
        <v>0</v>
      </c>
      <c r="W50" s="14">
        <f t="shared" si="9"/>
        <v>0</v>
      </c>
      <c r="X50" s="14">
        <f t="shared" si="9"/>
        <v>0</v>
      </c>
      <c r="Y50" s="14">
        <f t="shared" si="9"/>
        <v>0</v>
      </c>
      <c r="Z50" s="14">
        <f t="shared" si="9"/>
        <v>0</v>
      </c>
      <c r="AA50" s="14">
        <f t="shared" si="9"/>
        <v>0</v>
      </c>
      <c r="AB50" s="14">
        <f t="shared" si="9"/>
        <v>0</v>
      </c>
      <c r="AC50" s="14">
        <f t="shared" si="9"/>
        <v>0</v>
      </c>
      <c r="AD50" s="14">
        <f t="shared" si="9"/>
        <v>0</v>
      </c>
      <c r="AE50" s="14">
        <f t="shared" si="9"/>
        <v>0</v>
      </c>
      <c r="AF50" s="14">
        <f t="shared" si="9"/>
        <v>0</v>
      </c>
      <c r="AG50" s="18">
        <f t="shared" si="1"/>
        <v>0</v>
      </c>
      <c r="AH50" s="18">
        <f t="shared" si="2"/>
        <v>0</v>
      </c>
      <c r="AI50" s="18">
        <f t="shared" si="3"/>
        <v>0</v>
      </c>
      <c r="AJ50" s="18">
        <f t="shared" si="4"/>
        <v>0</v>
      </c>
      <c r="AK50" s="18">
        <f t="shared" si="5"/>
        <v>0</v>
      </c>
      <c r="AL50" s="18">
        <f t="shared" si="6"/>
        <v>0</v>
      </c>
      <c r="AM50" s="18">
        <f t="shared" si="7"/>
        <v>0</v>
      </c>
      <c r="AN50" s="18">
        <f t="shared" si="8"/>
        <v>0</v>
      </c>
    </row>
    <row r="51" ht="13" spans="1:40">
      <c r="A51" s="1" t="s">
        <v>78</v>
      </c>
      <c r="B51" s="15">
        <f t="shared" ref="B51:AF51" si="10">COUNTIF(B$2:B$49,"日")</f>
        <v>0</v>
      </c>
      <c r="C51" s="15">
        <f t="shared" si="10"/>
        <v>0</v>
      </c>
      <c r="D51" s="15">
        <f t="shared" si="10"/>
        <v>0</v>
      </c>
      <c r="E51" s="15">
        <f t="shared" si="10"/>
        <v>0</v>
      </c>
      <c r="F51" s="15">
        <f t="shared" si="10"/>
        <v>0</v>
      </c>
      <c r="G51" s="15">
        <f t="shared" si="10"/>
        <v>0</v>
      </c>
      <c r="H51" s="15">
        <f t="shared" si="10"/>
        <v>0</v>
      </c>
      <c r="I51" s="15">
        <f t="shared" si="10"/>
        <v>0</v>
      </c>
      <c r="J51" s="15">
        <f t="shared" si="10"/>
        <v>0</v>
      </c>
      <c r="K51" s="15">
        <f t="shared" si="10"/>
        <v>0</v>
      </c>
      <c r="L51" s="15">
        <f t="shared" si="10"/>
        <v>0</v>
      </c>
      <c r="M51" s="15">
        <f t="shared" si="10"/>
        <v>0</v>
      </c>
      <c r="N51" s="15">
        <f t="shared" si="10"/>
        <v>0</v>
      </c>
      <c r="O51" s="15">
        <f t="shared" si="10"/>
        <v>0</v>
      </c>
      <c r="P51" s="15">
        <f t="shared" si="10"/>
        <v>0</v>
      </c>
      <c r="Q51" s="15">
        <f t="shared" si="10"/>
        <v>0</v>
      </c>
      <c r="R51" s="15">
        <f t="shared" si="10"/>
        <v>0</v>
      </c>
      <c r="S51" s="15">
        <f t="shared" si="10"/>
        <v>0</v>
      </c>
      <c r="T51" s="15">
        <f t="shared" si="10"/>
        <v>0</v>
      </c>
      <c r="U51" s="15">
        <f t="shared" si="10"/>
        <v>0</v>
      </c>
      <c r="V51" s="15">
        <f t="shared" si="10"/>
        <v>0</v>
      </c>
      <c r="W51" s="15">
        <f t="shared" si="10"/>
        <v>0</v>
      </c>
      <c r="X51" s="15">
        <f t="shared" si="10"/>
        <v>0</v>
      </c>
      <c r="Y51" s="15">
        <f t="shared" si="10"/>
        <v>0</v>
      </c>
      <c r="Z51" s="15">
        <f t="shared" si="10"/>
        <v>0</v>
      </c>
      <c r="AA51" s="15">
        <f t="shared" si="10"/>
        <v>0</v>
      </c>
      <c r="AB51" s="15">
        <f t="shared" si="10"/>
        <v>0</v>
      </c>
      <c r="AC51" s="15">
        <f t="shared" si="10"/>
        <v>0</v>
      </c>
      <c r="AD51" s="15">
        <f t="shared" si="10"/>
        <v>0</v>
      </c>
      <c r="AE51" s="15">
        <f t="shared" si="10"/>
        <v>0</v>
      </c>
      <c r="AF51" s="15">
        <f t="shared" si="10"/>
        <v>0</v>
      </c>
      <c r="AG51" s="18">
        <f t="shared" si="1"/>
        <v>0</v>
      </c>
      <c r="AH51" s="18">
        <f t="shared" si="2"/>
        <v>0</v>
      </c>
      <c r="AI51" s="18">
        <f t="shared" si="3"/>
        <v>0</v>
      </c>
      <c r="AJ51" s="18">
        <f t="shared" si="4"/>
        <v>0</v>
      </c>
      <c r="AK51" s="18">
        <f t="shared" si="5"/>
        <v>0</v>
      </c>
      <c r="AL51" s="18">
        <f t="shared" si="6"/>
        <v>0</v>
      </c>
      <c r="AM51" s="18">
        <f t="shared" si="7"/>
        <v>0</v>
      </c>
      <c r="AN51" s="18">
        <f t="shared" si="8"/>
        <v>0</v>
      </c>
    </row>
    <row r="52" ht="13" spans="1:40">
      <c r="A52" s="1" t="s">
        <v>79</v>
      </c>
      <c r="B52" s="15">
        <f t="shared" ref="B52:AF52" si="11">COUNTIF(B$2:B$49,"遅")</f>
        <v>0</v>
      </c>
      <c r="C52" s="15">
        <f t="shared" si="11"/>
        <v>0</v>
      </c>
      <c r="D52" s="15">
        <f t="shared" si="11"/>
        <v>0</v>
      </c>
      <c r="E52" s="15">
        <f t="shared" si="11"/>
        <v>0</v>
      </c>
      <c r="F52" s="15">
        <f t="shared" si="11"/>
        <v>0</v>
      </c>
      <c r="G52" s="15">
        <f t="shared" si="11"/>
        <v>0</v>
      </c>
      <c r="H52" s="15">
        <f t="shared" si="11"/>
        <v>0</v>
      </c>
      <c r="I52" s="15">
        <f t="shared" si="11"/>
        <v>0</v>
      </c>
      <c r="J52" s="15">
        <f t="shared" si="11"/>
        <v>0</v>
      </c>
      <c r="K52" s="15">
        <f t="shared" si="11"/>
        <v>0</v>
      </c>
      <c r="L52" s="15">
        <f t="shared" si="11"/>
        <v>0</v>
      </c>
      <c r="M52" s="15">
        <f t="shared" si="11"/>
        <v>0</v>
      </c>
      <c r="N52" s="15">
        <f t="shared" si="11"/>
        <v>0</v>
      </c>
      <c r="O52" s="15">
        <f t="shared" si="11"/>
        <v>0</v>
      </c>
      <c r="P52" s="15">
        <f t="shared" si="11"/>
        <v>0</v>
      </c>
      <c r="Q52" s="15">
        <f t="shared" si="11"/>
        <v>0</v>
      </c>
      <c r="R52" s="15">
        <f t="shared" si="11"/>
        <v>0</v>
      </c>
      <c r="S52" s="15">
        <f t="shared" si="11"/>
        <v>0</v>
      </c>
      <c r="T52" s="15">
        <f t="shared" si="11"/>
        <v>0</v>
      </c>
      <c r="U52" s="15">
        <f t="shared" si="11"/>
        <v>0</v>
      </c>
      <c r="V52" s="15">
        <f t="shared" si="11"/>
        <v>0</v>
      </c>
      <c r="W52" s="15">
        <f t="shared" si="11"/>
        <v>0</v>
      </c>
      <c r="X52" s="15">
        <f t="shared" si="11"/>
        <v>0</v>
      </c>
      <c r="Y52" s="15">
        <f t="shared" si="11"/>
        <v>0</v>
      </c>
      <c r="Z52" s="15">
        <f t="shared" si="11"/>
        <v>0</v>
      </c>
      <c r="AA52" s="15">
        <f t="shared" si="11"/>
        <v>0</v>
      </c>
      <c r="AB52" s="15">
        <f t="shared" si="11"/>
        <v>0</v>
      </c>
      <c r="AC52" s="15">
        <f t="shared" si="11"/>
        <v>0</v>
      </c>
      <c r="AD52" s="15">
        <f t="shared" si="11"/>
        <v>0</v>
      </c>
      <c r="AE52" s="15">
        <f t="shared" si="11"/>
        <v>0</v>
      </c>
      <c r="AF52" s="15">
        <f t="shared" si="11"/>
        <v>0</v>
      </c>
      <c r="AG52" s="18">
        <f t="shared" si="1"/>
        <v>0</v>
      </c>
      <c r="AH52" s="18">
        <f t="shared" si="2"/>
        <v>0</v>
      </c>
      <c r="AI52" s="18">
        <f t="shared" si="3"/>
        <v>0</v>
      </c>
      <c r="AJ52" s="18">
        <f t="shared" si="4"/>
        <v>0</v>
      </c>
      <c r="AK52" s="18">
        <f t="shared" si="5"/>
        <v>0</v>
      </c>
      <c r="AL52" s="18">
        <f t="shared" si="6"/>
        <v>0</v>
      </c>
      <c r="AM52" s="18">
        <f t="shared" si="7"/>
        <v>0</v>
      </c>
      <c r="AN52" s="18">
        <f t="shared" si="8"/>
        <v>0</v>
      </c>
    </row>
    <row r="53" ht="13" spans="1:40">
      <c r="A53" s="1" t="s">
        <v>80</v>
      </c>
      <c r="B53" s="15">
        <f t="shared" ref="B53:AF53" si="12">COUNTIF(B$2:B$49,"夜")</f>
        <v>0</v>
      </c>
      <c r="C53" s="15">
        <f t="shared" si="12"/>
        <v>0</v>
      </c>
      <c r="D53" s="15">
        <f t="shared" si="12"/>
        <v>0</v>
      </c>
      <c r="E53" s="15">
        <f t="shared" si="12"/>
        <v>0</v>
      </c>
      <c r="F53" s="15">
        <f t="shared" si="12"/>
        <v>0</v>
      </c>
      <c r="G53" s="15">
        <f t="shared" si="12"/>
        <v>0</v>
      </c>
      <c r="H53" s="15">
        <f t="shared" si="12"/>
        <v>0</v>
      </c>
      <c r="I53" s="15">
        <f t="shared" si="12"/>
        <v>0</v>
      </c>
      <c r="J53" s="15">
        <f t="shared" si="12"/>
        <v>0</v>
      </c>
      <c r="K53" s="15">
        <f t="shared" si="12"/>
        <v>0</v>
      </c>
      <c r="L53" s="15">
        <f t="shared" si="12"/>
        <v>0</v>
      </c>
      <c r="M53" s="15">
        <f t="shared" si="12"/>
        <v>0</v>
      </c>
      <c r="N53" s="15">
        <f t="shared" si="12"/>
        <v>0</v>
      </c>
      <c r="O53" s="15">
        <f t="shared" si="12"/>
        <v>0</v>
      </c>
      <c r="P53" s="15">
        <f t="shared" si="12"/>
        <v>0</v>
      </c>
      <c r="Q53" s="15">
        <f t="shared" si="12"/>
        <v>0</v>
      </c>
      <c r="R53" s="15">
        <f t="shared" si="12"/>
        <v>0</v>
      </c>
      <c r="S53" s="15">
        <f t="shared" si="12"/>
        <v>0</v>
      </c>
      <c r="T53" s="15">
        <f t="shared" si="12"/>
        <v>0</v>
      </c>
      <c r="U53" s="15">
        <f t="shared" si="12"/>
        <v>0</v>
      </c>
      <c r="V53" s="15">
        <f t="shared" si="12"/>
        <v>0</v>
      </c>
      <c r="W53" s="15">
        <f t="shared" si="12"/>
        <v>0</v>
      </c>
      <c r="X53" s="15">
        <f t="shared" si="12"/>
        <v>0</v>
      </c>
      <c r="Y53" s="15">
        <f t="shared" si="12"/>
        <v>0</v>
      </c>
      <c r="Z53" s="15">
        <f t="shared" si="12"/>
        <v>0</v>
      </c>
      <c r="AA53" s="15">
        <f t="shared" si="12"/>
        <v>0</v>
      </c>
      <c r="AB53" s="15">
        <f t="shared" si="12"/>
        <v>0</v>
      </c>
      <c r="AC53" s="15">
        <f t="shared" si="12"/>
        <v>0</v>
      </c>
      <c r="AD53" s="15">
        <f t="shared" si="12"/>
        <v>0</v>
      </c>
      <c r="AE53" s="15">
        <f t="shared" si="12"/>
        <v>0</v>
      </c>
      <c r="AF53" s="15">
        <f t="shared" si="12"/>
        <v>0</v>
      </c>
      <c r="AG53" s="18">
        <f t="shared" si="1"/>
        <v>0</v>
      </c>
      <c r="AH53" s="18">
        <f t="shared" si="2"/>
        <v>0</v>
      </c>
      <c r="AI53" s="18">
        <f t="shared" si="3"/>
        <v>0</v>
      </c>
      <c r="AJ53" s="18">
        <f t="shared" si="4"/>
        <v>0</v>
      </c>
      <c r="AK53" s="18">
        <f t="shared" si="5"/>
        <v>0</v>
      </c>
      <c r="AL53" s="18">
        <f t="shared" si="6"/>
        <v>0</v>
      </c>
      <c r="AM53" s="18">
        <f t="shared" si="7"/>
        <v>0</v>
      </c>
      <c r="AN53" s="18">
        <f t="shared" si="8"/>
        <v>0</v>
      </c>
    </row>
    <row r="54" ht="13" spans="1:40">
      <c r="A54" s="1" t="s">
        <v>81</v>
      </c>
      <c r="B54" s="15">
        <f t="shared" ref="B54:AF54" si="13">COUNTIF(B$2:B$49,"明")</f>
        <v>0</v>
      </c>
      <c r="C54" s="15">
        <f t="shared" si="13"/>
        <v>0</v>
      </c>
      <c r="D54" s="15">
        <f t="shared" si="13"/>
        <v>0</v>
      </c>
      <c r="E54" s="15">
        <f t="shared" si="13"/>
        <v>0</v>
      </c>
      <c r="F54" s="15">
        <f t="shared" si="13"/>
        <v>0</v>
      </c>
      <c r="G54" s="15">
        <f t="shared" si="13"/>
        <v>0</v>
      </c>
      <c r="H54" s="15">
        <f t="shared" si="13"/>
        <v>0</v>
      </c>
      <c r="I54" s="15">
        <f t="shared" si="13"/>
        <v>0</v>
      </c>
      <c r="J54" s="15">
        <f t="shared" si="13"/>
        <v>0</v>
      </c>
      <c r="K54" s="15">
        <f t="shared" si="13"/>
        <v>0</v>
      </c>
      <c r="L54" s="15">
        <f t="shared" si="13"/>
        <v>0</v>
      </c>
      <c r="M54" s="15">
        <f t="shared" si="13"/>
        <v>0</v>
      </c>
      <c r="N54" s="15">
        <f t="shared" si="13"/>
        <v>0</v>
      </c>
      <c r="O54" s="15">
        <f t="shared" si="13"/>
        <v>0</v>
      </c>
      <c r="P54" s="15">
        <f t="shared" si="13"/>
        <v>0</v>
      </c>
      <c r="Q54" s="15">
        <f t="shared" si="13"/>
        <v>0</v>
      </c>
      <c r="R54" s="15">
        <f t="shared" si="13"/>
        <v>0</v>
      </c>
      <c r="S54" s="15">
        <f t="shared" si="13"/>
        <v>0</v>
      </c>
      <c r="T54" s="15">
        <f t="shared" si="13"/>
        <v>0</v>
      </c>
      <c r="U54" s="15">
        <f t="shared" si="13"/>
        <v>0</v>
      </c>
      <c r="V54" s="15">
        <f t="shared" si="13"/>
        <v>0</v>
      </c>
      <c r="W54" s="15">
        <f t="shared" si="13"/>
        <v>0</v>
      </c>
      <c r="X54" s="15">
        <f t="shared" si="13"/>
        <v>0</v>
      </c>
      <c r="Y54" s="15">
        <f t="shared" si="13"/>
        <v>0</v>
      </c>
      <c r="Z54" s="15">
        <f t="shared" si="13"/>
        <v>0</v>
      </c>
      <c r="AA54" s="15">
        <f t="shared" si="13"/>
        <v>0</v>
      </c>
      <c r="AB54" s="15">
        <f t="shared" si="13"/>
        <v>0</v>
      </c>
      <c r="AC54" s="15">
        <f t="shared" si="13"/>
        <v>0</v>
      </c>
      <c r="AD54" s="15">
        <f t="shared" si="13"/>
        <v>0</v>
      </c>
      <c r="AE54" s="15">
        <f t="shared" si="13"/>
        <v>0</v>
      </c>
      <c r="AF54" s="15">
        <f t="shared" si="13"/>
        <v>0</v>
      </c>
      <c r="AG54" s="18">
        <f t="shared" si="1"/>
        <v>0</v>
      </c>
      <c r="AH54" s="18">
        <f t="shared" si="2"/>
        <v>0</v>
      </c>
      <c r="AI54" s="18">
        <f t="shared" si="3"/>
        <v>0</v>
      </c>
      <c r="AJ54" s="18">
        <f t="shared" si="4"/>
        <v>0</v>
      </c>
      <c r="AK54" s="18">
        <f t="shared" si="5"/>
        <v>0</v>
      </c>
      <c r="AL54" s="18">
        <f t="shared" si="6"/>
        <v>0</v>
      </c>
      <c r="AM54" s="18">
        <f t="shared" si="7"/>
        <v>0</v>
      </c>
      <c r="AN54" s="18">
        <f t="shared" si="8"/>
        <v>0</v>
      </c>
    </row>
    <row r="55" ht="13" spans="1:40">
      <c r="A55" s="1" t="s">
        <v>82</v>
      </c>
      <c r="B55" s="15">
        <f t="shared" ref="B55:AF55" si="14">COUNTIF(B$2:B$49,"*休*")</f>
        <v>0</v>
      </c>
      <c r="C55" s="15">
        <f t="shared" si="14"/>
        <v>0</v>
      </c>
      <c r="D55" s="15">
        <f t="shared" si="14"/>
        <v>0</v>
      </c>
      <c r="E55" s="15">
        <f t="shared" si="14"/>
        <v>0</v>
      </c>
      <c r="F55" s="15">
        <f t="shared" si="14"/>
        <v>0</v>
      </c>
      <c r="G55" s="15">
        <f t="shared" si="14"/>
        <v>1</v>
      </c>
      <c r="H55" s="15">
        <f t="shared" si="14"/>
        <v>0</v>
      </c>
      <c r="I55" s="15">
        <f t="shared" si="14"/>
        <v>0</v>
      </c>
      <c r="J55" s="15">
        <f t="shared" si="14"/>
        <v>0</v>
      </c>
      <c r="K55" s="15">
        <f t="shared" si="14"/>
        <v>0</v>
      </c>
      <c r="L55" s="15">
        <f t="shared" si="14"/>
        <v>0</v>
      </c>
      <c r="M55" s="15">
        <f t="shared" si="14"/>
        <v>0</v>
      </c>
      <c r="N55" s="15">
        <f t="shared" si="14"/>
        <v>0</v>
      </c>
      <c r="O55" s="15">
        <f t="shared" si="14"/>
        <v>0</v>
      </c>
      <c r="P55" s="15">
        <f t="shared" si="14"/>
        <v>0</v>
      </c>
      <c r="Q55" s="15">
        <f t="shared" si="14"/>
        <v>0</v>
      </c>
      <c r="R55" s="15">
        <f t="shared" si="14"/>
        <v>0</v>
      </c>
      <c r="S55" s="15">
        <f t="shared" si="14"/>
        <v>0</v>
      </c>
      <c r="T55" s="15">
        <f t="shared" si="14"/>
        <v>0</v>
      </c>
      <c r="U55" s="15">
        <f t="shared" si="14"/>
        <v>0</v>
      </c>
      <c r="V55" s="15">
        <f t="shared" si="14"/>
        <v>0</v>
      </c>
      <c r="W55" s="15">
        <f t="shared" si="14"/>
        <v>0</v>
      </c>
      <c r="X55" s="15">
        <f t="shared" si="14"/>
        <v>0</v>
      </c>
      <c r="Y55" s="15">
        <f t="shared" si="14"/>
        <v>0</v>
      </c>
      <c r="Z55" s="15">
        <f t="shared" si="14"/>
        <v>0</v>
      </c>
      <c r="AA55" s="15">
        <f t="shared" si="14"/>
        <v>0</v>
      </c>
      <c r="AB55" s="15">
        <f t="shared" si="14"/>
        <v>0</v>
      </c>
      <c r="AC55" s="15">
        <f t="shared" si="14"/>
        <v>0</v>
      </c>
      <c r="AD55" s="15">
        <f t="shared" si="14"/>
        <v>0</v>
      </c>
      <c r="AE55" s="15">
        <f t="shared" si="14"/>
        <v>0</v>
      </c>
      <c r="AF55" s="15">
        <f t="shared" si="14"/>
        <v>0</v>
      </c>
      <c r="AG55" s="18">
        <f t="shared" si="1"/>
        <v>0</v>
      </c>
      <c r="AH55" s="18">
        <f t="shared" si="2"/>
        <v>0</v>
      </c>
      <c r="AI55" s="18">
        <f t="shared" si="3"/>
        <v>0</v>
      </c>
      <c r="AJ55" s="18">
        <f t="shared" si="4"/>
        <v>0</v>
      </c>
      <c r="AK55" s="18">
        <f t="shared" si="5"/>
        <v>0</v>
      </c>
      <c r="AL55" s="18">
        <f t="shared" si="6"/>
        <v>0</v>
      </c>
      <c r="AM55" s="18">
        <f t="shared" si="7"/>
        <v>0</v>
      </c>
      <c r="AN55" s="18">
        <f t="shared" si="8"/>
        <v>0</v>
      </c>
    </row>
    <row r="56" ht="13" spans="1:40">
      <c r="A56" s="1" t="s">
        <v>83</v>
      </c>
      <c r="B56" s="14">
        <f t="shared" ref="B56:AF56" si="15">SUM(B50:B53)</f>
        <v>0</v>
      </c>
      <c r="C56" s="14">
        <f t="shared" si="15"/>
        <v>0</v>
      </c>
      <c r="D56" s="14">
        <f t="shared" si="15"/>
        <v>0</v>
      </c>
      <c r="E56" s="14">
        <f t="shared" si="15"/>
        <v>0</v>
      </c>
      <c r="F56" s="14">
        <f t="shared" si="15"/>
        <v>0</v>
      </c>
      <c r="G56" s="14">
        <f t="shared" si="15"/>
        <v>0</v>
      </c>
      <c r="H56" s="14">
        <f t="shared" si="15"/>
        <v>0</v>
      </c>
      <c r="I56" s="14">
        <f t="shared" si="15"/>
        <v>0</v>
      </c>
      <c r="J56" s="14">
        <f t="shared" si="15"/>
        <v>0</v>
      </c>
      <c r="K56" s="14">
        <f t="shared" si="15"/>
        <v>0</v>
      </c>
      <c r="L56" s="14">
        <f t="shared" si="15"/>
        <v>0</v>
      </c>
      <c r="M56" s="14">
        <f t="shared" si="15"/>
        <v>0</v>
      </c>
      <c r="N56" s="14">
        <f t="shared" si="15"/>
        <v>0</v>
      </c>
      <c r="O56" s="14">
        <f t="shared" si="15"/>
        <v>0</v>
      </c>
      <c r="P56" s="14">
        <f t="shared" si="15"/>
        <v>0</v>
      </c>
      <c r="Q56" s="14">
        <f t="shared" si="15"/>
        <v>0</v>
      </c>
      <c r="R56" s="14">
        <f t="shared" si="15"/>
        <v>0</v>
      </c>
      <c r="S56" s="14">
        <f t="shared" si="15"/>
        <v>0</v>
      </c>
      <c r="T56" s="14">
        <f t="shared" si="15"/>
        <v>0</v>
      </c>
      <c r="U56" s="14">
        <f t="shared" si="15"/>
        <v>0</v>
      </c>
      <c r="V56" s="14">
        <f t="shared" si="15"/>
        <v>0</v>
      </c>
      <c r="W56" s="14">
        <f t="shared" si="15"/>
        <v>0</v>
      </c>
      <c r="X56" s="14">
        <f t="shared" si="15"/>
        <v>0</v>
      </c>
      <c r="Y56" s="14">
        <f t="shared" si="15"/>
        <v>0</v>
      </c>
      <c r="Z56" s="14">
        <f t="shared" si="15"/>
        <v>0</v>
      </c>
      <c r="AA56" s="14">
        <f t="shared" si="15"/>
        <v>0</v>
      </c>
      <c r="AB56" s="14">
        <f t="shared" si="15"/>
        <v>0</v>
      </c>
      <c r="AC56" s="14">
        <f t="shared" si="15"/>
        <v>0</v>
      </c>
      <c r="AD56" s="14">
        <f t="shared" si="15"/>
        <v>0</v>
      </c>
      <c r="AE56" s="14">
        <f t="shared" si="15"/>
        <v>0</v>
      </c>
      <c r="AF56" s="14">
        <f t="shared" si="15"/>
        <v>0</v>
      </c>
      <c r="AG56" s="18">
        <f t="shared" si="1"/>
        <v>0</v>
      </c>
      <c r="AH56" s="18">
        <f t="shared" si="2"/>
        <v>0</v>
      </c>
      <c r="AI56" s="18">
        <f t="shared" si="3"/>
        <v>0</v>
      </c>
      <c r="AJ56" s="18">
        <f t="shared" si="4"/>
        <v>0</v>
      </c>
      <c r="AK56" s="18">
        <f t="shared" si="5"/>
        <v>0</v>
      </c>
      <c r="AL56" s="18">
        <f t="shared" si="6"/>
        <v>0</v>
      </c>
      <c r="AM56" s="18">
        <f t="shared" si="7"/>
        <v>0</v>
      </c>
      <c r="AN56" s="18">
        <f t="shared" si="8"/>
        <v>0</v>
      </c>
    </row>
  </sheetData>
  <dataValidations count="1">
    <dataValidation type="list" allowBlank="1" showErrorMessage="1" sqref="B2:AF49">
      <formula1>"早,日,遅,夜,明,休,予,希望休,研修,有,誕"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42"/>
  <sheetViews>
    <sheetView topLeftCell="A10" workbookViewId="0">
      <selection activeCell="I8" sqref="I8"/>
    </sheetView>
  </sheetViews>
  <sheetFormatPr defaultColWidth="12.6272727272727" defaultRowHeight="15.75" customHeight="1" outlineLevelCol="7"/>
  <cols>
    <col min="2" max="2" width="25.2545454545455" customWidth="1"/>
    <col min="3" max="3" width="16.2545454545455" customWidth="1"/>
    <col min="4" max="4" width="21" customWidth="1"/>
    <col min="5" max="5" width="14.8818181818182" customWidth="1"/>
  </cols>
  <sheetData>
    <row r="1" customHeight="1" spans="1:8">
      <c r="A1" s="35" t="s">
        <v>1</v>
      </c>
      <c r="B1" s="35" t="s">
        <v>107</v>
      </c>
      <c r="C1" s="35" t="s">
        <v>108</v>
      </c>
      <c r="D1" s="36" t="s">
        <v>109</v>
      </c>
      <c r="E1" s="36" t="s">
        <v>110</v>
      </c>
      <c r="F1" s="36" t="s">
        <v>111</v>
      </c>
      <c r="G1" s="37" t="s">
        <v>112</v>
      </c>
      <c r="H1" s="38" t="s">
        <v>113</v>
      </c>
    </row>
    <row r="2" customHeight="1" spans="1:8">
      <c r="A2" s="4" t="s">
        <v>114</v>
      </c>
      <c r="B2" s="39"/>
      <c r="C2" s="40"/>
      <c r="D2" s="40"/>
      <c r="E2" s="41"/>
      <c r="F2" s="40"/>
      <c r="G2" s="42"/>
      <c r="H2" s="43"/>
    </row>
    <row r="3" customHeight="1" spans="1:8">
      <c r="A3" s="6" t="s">
        <v>85</v>
      </c>
      <c r="B3" s="39"/>
      <c r="C3" s="40"/>
      <c r="D3" s="39"/>
      <c r="E3" s="44"/>
      <c r="F3" s="40"/>
      <c r="G3" s="45"/>
      <c r="H3" s="43"/>
    </row>
    <row r="4" customHeight="1" spans="1:8">
      <c r="A4" s="8" t="s">
        <v>115</v>
      </c>
      <c r="B4" s="39"/>
      <c r="C4" s="40"/>
      <c r="D4" s="40"/>
      <c r="E4" s="40"/>
      <c r="F4" s="40"/>
      <c r="G4" s="42"/>
      <c r="H4" s="43"/>
    </row>
    <row r="5" customHeight="1" spans="1:8">
      <c r="A5" s="6" t="s">
        <v>86</v>
      </c>
      <c r="B5" s="39"/>
      <c r="C5" s="39"/>
      <c r="D5" s="40"/>
      <c r="E5" s="40"/>
      <c r="F5" s="40"/>
      <c r="G5" s="42"/>
      <c r="H5" s="43"/>
    </row>
    <row r="6" customHeight="1" spans="1:8">
      <c r="A6" s="8" t="s">
        <v>87</v>
      </c>
      <c r="B6" s="39"/>
      <c r="C6" s="40"/>
      <c r="D6" s="41"/>
      <c r="E6" s="40"/>
      <c r="F6" s="40"/>
      <c r="G6" s="45"/>
      <c r="H6" s="43"/>
    </row>
    <row r="7" customHeight="1" spans="1:8">
      <c r="A7" s="6" t="s">
        <v>88</v>
      </c>
      <c r="B7" s="39"/>
      <c r="C7" s="40"/>
      <c r="D7" s="40"/>
      <c r="E7" s="40"/>
      <c r="F7" s="40"/>
      <c r="G7" s="42"/>
      <c r="H7" s="43"/>
    </row>
    <row r="8" customHeight="1" spans="1:8">
      <c r="A8" s="8" t="s">
        <v>116</v>
      </c>
      <c r="B8" s="39"/>
      <c r="C8" s="40"/>
      <c r="D8" s="40"/>
      <c r="E8" s="40"/>
      <c r="F8" s="40"/>
      <c r="G8" s="42"/>
      <c r="H8" s="43"/>
    </row>
    <row r="9" customHeight="1" spans="1:8">
      <c r="A9" s="6" t="s">
        <v>89</v>
      </c>
      <c r="B9" s="39"/>
      <c r="C9" s="41"/>
      <c r="D9" s="40"/>
      <c r="E9" s="39"/>
      <c r="F9" s="40"/>
      <c r="G9" s="42"/>
      <c r="H9" s="43"/>
    </row>
    <row r="10" customHeight="1" spans="1:8">
      <c r="A10" s="6" t="s">
        <v>117</v>
      </c>
      <c r="B10" s="39"/>
      <c r="C10" s="40"/>
      <c r="D10" s="40"/>
      <c r="E10" s="40"/>
      <c r="F10" s="40"/>
      <c r="G10" s="42"/>
      <c r="H10" s="43"/>
    </row>
    <row r="11" customHeight="1" spans="1:8">
      <c r="A11" s="11" t="s">
        <v>118</v>
      </c>
      <c r="B11" s="46"/>
      <c r="C11" s="40"/>
      <c r="D11" s="41"/>
      <c r="E11" s="40"/>
      <c r="F11" s="40"/>
      <c r="G11" s="42"/>
      <c r="H11" s="43"/>
    </row>
    <row r="12" customHeight="1" spans="1:8">
      <c r="A12" s="6" t="s">
        <v>119</v>
      </c>
      <c r="B12" s="39"/>
      <c r="C12" s="40"/>
      <c r="D12" s="40"/>
      <c r="E12" s="40"/>
      <c r="F12" s="40"/>
      <c r="G12" s="42"/>
      <c r="H12" s="43"/>
    </row>
    <row r="13" customHeight="1" spans="1:8">
      <c r="A13" s="11" t="s">
        <v>120</v>
      </c>
      <c r="B13" s="39"/>
      <c r="C13" s="41"/>
      <c r="D13" s="40"/>
      <c r="E13" s="40"/>
      <c r="F13" s="40"/>
      <c r="G13" s="42"/>
      <c r="H13" s="43"/>
    </row>
    <row r="14" customHeight="1" spans="1:8">
      <c r="A14" s="6" t="s">
        <v>121</v>
      </c>
      <c r="B14" s="39"/>
      <c r="C14" s="40"/>
      <c r="D14" s="40"/>
      <c r="E14" s="40"/>
      <c r="F14" s="40"/>
      <c r="G14" s="42"/>
      <c r="H14" s="43"/>
    </row>
    <row r="15" customHeight="1" spans="1:2">
      <c r="A15" s="6"/>
      <c r="B15" s="47"/>
    </row>
    <row r="16" customHeight="1" spans="1:2">
      <c r="A16" s="8"/>
      <c r="B16" s="47"/>
    </row>
    <row r="17" customHeight="1" spans="1:2">
      <c r="A17" s="6"/>
      <c r="B17" s="47"/>
    </row>
    <row r="18" customHeight="1" spans="1:2">
      <c r="A18" s="8"/>
      <c r="B18" s="47"/>
    </row>
    <row r="19" customHeight="1" spans="1:2">
      <c r="A19" s="6"/>
      <c r="B19" s="47"/>
    </row>
    <row r="20" customHeight="1" spans="1:2">
      <c r="A20" s="8"/>
      <c r="B20" s="47"/>
    </row>
    <row r="21" customHeight="1" spans="1:2">
      <c r="A21" s="6"/>
      <c r="B21" s="47"/>
    </row>
    <row r="22" customHeight="1" spans="1:2">
      <c r="A22" s="8"/>
      <c r="B22" s="47"/>
    </row>
    <row r="23" customHeight="1" spans="1:2">
      <c r="A23" s="6"/>
      <c r="B23" s="47"/>
    </row>
    <row r="24" customHeight="1" spans="1:2">
      <c r="A24" s="8"/>
      <c r="B24" s="47"/>
    </row>
    <row r="25" customHeight="1" spans="1:2">
      <c r="A25" s="6"/>
      <c r="B25" s="47"/>
    </row>
    <row r="26" customHeight="1" spans="1:2">
      <c r="A26" s="8"/>
      <c r="B26" s="47"/>
    </row>
    <row r="27" customHeight="1" spans="1:2">
      <c r="A27" s="6"/>
      <c r="B27" s="47"/>
    </row>
    <row r="28" customHeight="1" spans="1:2">
      <c r="A28" s="8"/>
      <c r="B28" s="47"/>
    </row>
    <row r="29" customHeight="1" spans="1:2">
      <c r="A29" s="6"/>
      <c r="B29" s="47"/>
    </row>
    <row r="30" customHeight="1" spans="1:2">
      <c r="A30" s="8"/>
      <c r="B30" s="47"/>
    </row>
    <row r="31" customHeight="1" spans="1:2">
      <c r="A31" s="6"/>
      <c r="B31" s="47"/>
    </row>
    <row r="32" customHeight="1" spans="1:2">
      <c r="A32" s="8"/>
      <c r="B32" s="47"/>
    </row>
    <row r="33" customHeight="1" spans="1:2">
      <c r="A33" s="6"/>
      <c r="B33" s="47"/>
    </row>
    <row r="34" customHeight="1" spans="1:1">
      <c r="A34" s="48"/>
    </row>
    <row r="35" customHeight="1" spans="1:1">
      <c r="A35" s="11"/>
    </row>
    <row r="36" customHeight="1" spans="1:1">
      <c r="A36" s="6"/>
    </row>
    <row r="37" customHeight="1" spans="1:1">
      <c r="A37" s="11"/>
    </row>
    <row r="38" customHeight="1" spans="1:1">
      <c r="A38" s="6"/>
    </row>
    <row r="39" customHeight="1" spans="1:1">
      <c r="A39" s="11"/>
    </row>
    <row r="40" customHeight="1" spans="1:1">
      <c r="A40" s="6"/>
    </row>
    <row r="41" customHeight="1" spans="1:1">
      <c r="A41" s="11"/>
    </row>
    <row r="42" customHeight="1" spans="1:1">
      <c r="A42" s="6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8"/>
  <sheetViews>
    <sheetView workbookViewId="0">
      <selection activeCell="A1" sqref="A1"/>
    </sheetView>
  </sheetViews>
  <sheetFormatPr defaultColWidth="12.6272727272727" defaultRowHeight="15.75" customHeight="1" outlineLevelCol="1"/>
  <sheetData>
    <row r="1" customHeight="1" spans="1:2">
      <c r="A1" s="14" t="s">
        <v>122</v>
      </c>
      <c r="B1" s="14" t="s">
        <v>123</v>
      </c>
    </row>
    <row r="2" customHeight="1" spans="1:2">
      <c r="A2" s="34">
        <v>45901</v>
      </c>
      <c r="B2" s="14">
        <v>9</v>
      </c>
    </row>
    <row r="3" customHeight="1" spans="1:2">
      <c r="A3" s="34">
        <v>45931</v>
      </c>
      <c r="B3" s="14">
        <v>9</v>
      </c>
    </row>
    <row r="4" customHeight="1" spans="1:2">
      <c r="A4" s="34">
        <v>45962</v>
      </c>
      <c r="B4" s="14">
        <v>9</v>
      </c>
    </row>
    <row r="5" customHeight="1" spans="1:2">
      <c r="A5" s="34">
        <v>45992</v>
      </c>
      <c r="B5" s="14">
        <v>9</v>
      </c>
    </row>
    <row r="6" customHeight="1" spans="1:2">
      <c r="A6" s="34">
        <v>46023</v>
      </c>
      <c r="B6" s="14">
        <v>9</v>
      </c>
    </row>
    <row r="7" customHeight="1" spans="1:2">
      <c r="A7" s="34">
        <v>46054</v>
      </c>
      <c r="B7" s="14">
        <v>9</v>
      </c>
    </row>
    <row r="8" customHeight="1" spans="1:2">
      <c r="A8" s="34">
        <v>46082</v>
      </c>
      <c r="B8" s="14">
        <v>9</v>
      </c>
    </row>
    <row r="9" customHeight="1" spans="1:2">
      <c r="A9" s="34">
        <v>46113</v>
      </c>
      <c r="B9" s="14">
        <v>9</v>
      </c>
    </row>
    <row r="10" customHeight="1" spans="1:2">
      <c r="A10" s="34">
        <v>46143</v>
      </c>
      <c r="B10" s="14">
        <v>9</v>
      </c>
    </row>
    <row r="11" customHeight="1" spans="1:2">
      <c r="A11" s="34">
        <v>46174</v>
      </c>
      <c r="B11" s="14">
        <v>9</v>
      </c>
    </row>
    <row r="12" customHeight="1" spans="1:2">
      <c r="A12" s="34">
        <v>46204</v>
      </c>
      <c r="B12" s="14">
        <v>9</v>
      </c>
    </row>
    <row r="13" customHeight="1" spans="1:2">
      <c r="A13" s="34">
        <v>46235</v>
      </c>
      <c r="B13" s="14">
        <v>9</v>
      </c>
    </row>
    <row r="14" customHeight="1" spans="1:2">
      <c r="A14" s="34">
        <v>46266</v>
      </c>
      <c r="B14" s="14">
        <v>9</v>
      </c>
    </row>
    <row r="15" customHeight="1" spans="1:2">
      <c r="A15" s="34">
        <v>46296</v>
      </c>
      <c r="B15" s="14">
        <v>9</v>
      </c>
    </row>
    <row r="16" customHeight="1" spans="1:2">
      <c r="A16" s="34">
        <v>46327</v>
      </c>
      <c r="B16" s="14">
        <v>9</v>
      </c>
    </row>
    <row r="17" customHeight="1" spans="1:2">
      <c r="A17" s="34">
        <v>46357</v>
      </c>
      <c r="B17" s="14">
        <v>9</v>
      </c>
    </row>
    <row r="18" customHeight="1" spans="1:2">
      <c r="A18" s="34">
        <v>46388</v>
      </c>
      <c r="B18" s="14">
        <v>9</v>
      </c>
    </row>
  </sheetData>
  <dataValidations count="1">
    <dataValidation type="list" allowBlank="1" showErrorMessage="1" sqref="B2:B18">
      <formula1>"10,9,8"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42"/>
  <sheetViews>
    <sheetView workbookViewId="0">
      <selection activeCell="A1" sqref="A1"/>
    </sheetView>
  </sheetViews>
  <sheetFormatPr defaultColWidth="12.6272727272727" defaultRowHeight="15.75" customHeight="1"/>
  <cols>
    <col min="2" max="2" width="16.8818181818182" customWidth="1"/>
    <col min="7" max="7" width="20.1272727272727" customWidth="1"/>
  </cols>
  <sheetData>
    <row r="1" customHeight="1" spans="1:25">
      <c r="A1" s="14" t="s">
        <v>1</v>
      </c>
      <c r="B1" s="25">
        <v>45900</v>
      </c>
      <c r="C1" s="26">
        <v>45901</v>
      </c>
      <c r="D1" s="26">
        <v>45902</v>
      </c>
      <c r="F1" s="25">
        <v>45930</v>
      </c>
      <c r="G1" s="26">
        <v>45931</v>
      </c>
      <c r="H1" s="26">
        <v>45932</v>
      </c>
      <c r="J1" s="25">
        <v>45961</v>
      </c>
      <c r="K1" s="26">
        <v>45962</v>
      </c>
      <c r="L1" s="26">
        <v>45963</v>
      </c>
      <c r="M1" s="29"/>
      <c r="N1" s="30"/>
      <c r="O1" s="30"/>
      <c r="P1" s="31"/>
      <c r="R1" s="29"/>
      <c r="S1" s="30"/>
      <c r="T1" s="30"/>
      <c r="U1" s="31"/>
      <c r="W1" s="29"/>
      <c r="X1" s="30"/>
      <c r="Y1" s="30"/>
    </row>
    <row r="2" customHeight="1" spans="1:25">
      <c r="A2" s="4" t="s">
        <v>114</v>
      </c>
      <c r="B2" s="25">
        <v>45900</v>
      </c>
      <c r="C2" s="27"/>
      <c r="D2" s="27"/>
      <c r="E2" s="18"/>
      <c r="F2" s="25">
        <v>45930</v>
      </c>
      <c r="G2" s="28"/>
      <c r="H2" s="28"/>
      <c r="J2" s="25">
        <v>45961</v>
      </c>
      <c r="K2" s="28"/>
      <c r="L2" s="28"/>
      <c r="M2" s="32"/>
      <c r="N2" s="28"/>
      <c r="O2" s="33"/>
      <c r="P2" s="33"/>
      <c r="R2" s="32"/>
      <c r="S2" s="33"/>
      <c r="T2" s="33"/>
      <c r="U2" s="33"/>
      <c r="W2" s="32"/>
      <c r="X2" s="28"/>
      <c r="Y2" s="28"/>
    </row>
    <row r="3" customHeight="1" spans="1:25">
      <c r="A3" s="6" t="s">
        <v>85</v>
      </c>
      <c r="B3" s="25">
        <v>45900</v>
      </c>
      <c r="C3" s="27" t="s">
        <v>124</v>
      </c>
      <c r="D3" s="27"/>
      <c r="E3" s="18"/>
      <c r="F3" s="25">
        <v>45930</v>
      </c>
      <c r="G3" s="28" t="s">
        <v>124</v>
      </c>
      <c r="H3" s="28"/>
      <c r="J3" s="25">
        <v>45961</v>
      </c>
      <c r="K3" s="28" t="s">
        <v>124</v>
      </c>
      <c r="L3" s="28"/>
      <c r="M3" s="32"/>
      <c r="N3" s="28"/>
      <c r="O3" s="33"/>
      <c r="P3" s="33"/>
      <c r="R3" s="32"/>
      <c r="S3" s="33"/>
      <c r="T3" s="33"/>
      <c r="U3" s="33"/>
      <c r="W3" s="32"/>
      <c r="X3" s="28"/>
      <c r="Y3" s="28"/>
    </row>
    <row r="4" customHeight="1" spans="1:25">
      <c r="A4" s="8" t="s">
        <v>115</v>
      </c>
      <c r="B4" s="25">
        <v>45900</v>
      </c>
      <c r="C4" s="27" t="s">
        <v>125</v>
      </c>
      <c r="D4" s="27" t="s">
        <v>124</v>
      </c>
      <c r="E4" s="18"/>
      <c r="F4" s="25">
        <v>45930</v>
      </c>
      <c r="G4" s="28"/>
      <c r="H4" s="28"/>
      <c r="J4" s="25">
        <v>45961</v>
      </c>
      <c r="K4" s="28"/>
      <c r="L4" s="28"/>
      <c r="M4" s="32"/>
      <c r="N4" s="28"/>
      <c r="O4" s="33"/>
      <c r="P4" s="33"/>
      <c r="R4" s="32"/>
      <c r="S4" s="33"/>
      <c r="T4" s="33"/>
      <c r="U4" s="33"/>
      <c r="W4" s="32"/>
      <c r="X4" s="28"/>
      <c r="Y4" s="28"/>
    </row>
    <row r="5" customHeight="1" spans="1:25">
      <c r="A5" s="6" t="s">
        <v>86</v>
      </c>
      <c r="B5" s="25">
        <v>45900</v>
      </c>
      <c r="C5" s="27"/>
      <c r="D5" s="27"/>
      <c r="E5" s="18"/>
      <c r="F5" s="25">
        <v>45930</v>
      </c>
      <c r="G5" s="28"/>
      <c r="H5" s="28"/>
      <c r="J5" s="25">
        <v>45961</v>
      </c>
      <c r="K5" s="28"/>
      <c r="L5" s="28"/>
      <c r="M5" s="32"/>
      <c r="N5" s="28"/>
      <c r="O5" s="33"/>
      <c r="P5" s="33"/>
      <c r="R5" s="32"/>
      <c r="S5" s="33"/>
      <c r="T5" s="33"/>
      <c r="U5" s="33"/>
      <c r="W5" s="32"/>
      <c r="X5" s="28"/>
      <c r="Y5" s="28"/>
    </row>
    <row r="6" customHeight="1" spans="1:25">
      <c r="A6" s="8" t="s">
        <v>87</v>
      </c>
      <c r="B6" s="25">
        <v>45900</v>
      </c>
      <c r="C6" s="27" t="s">
        <v>124</v>
      </c>
      <c r="D6" s="27"/>
      <c r="E6" s="18"/>
      <c r="F6" s="25">
        <v>45930</v>
      </c>
      <c r="G6" s="28" t="s">
        <v>125</v>
      </c>
      <c r="H6" s="28" t="s">
        <v>124</v>
      </c>
      <c r="J6" s="25">
        <v>45961</v>
      </c>
      <c r="K6" s="28" t="s">
        <v>125</v>
      </c>
      <c r="L6" s="28" t="s">
        <v>124</v>
      </c>
      <c r="M6" s="32"/>
      <c r="N6" s="28"/>
      <c r="O6" s="33"/>
      <c r="P6" s="33"/>
      <c r="R6" s="32"/>
      <c r="S6" s="33"/>
      <c r="T6" s="33"/>
      <c r="U6" s="33"/>
      <c r="W6" s="32"/>
      <c r="X6" s="28"/>
      <c r="Y6" s="28"/>
    </row>
    <row r="7" customHeight="1" spans="1:25">
      <c r="A7" s="6" t="s">
        <v>88</v>
      </c>
      <c r="B7" s="25">
        <v>45900</v>
      </c>
      <c r="C7" s="27"/>
      <c r="D7" s="27"/>
      <c r="E7" s="18"/>
      <c r="F7" s="25">
        <v>45930</v>
      </c>
      <c r="G7" s="28"/>
      <c r="H7" s="28"/>
      <c r="J7" s="25">
        <v>45961</v>
      </c>
      <c r="K7" s="28"/>
      <c r="L7" s="28"/>
      <c r="M7" s="32"/>
      <c r="N7" s="28"/>
      <c r="O7" s="33"/>
      <c r="P7" s="33"/>
      <c r="R7" s="32"/>
      <c r="S7" s="33"/>
      <c r="T7" s="33"/>
      <c r="U7" s="33"/>
      <c r="W7" s="32"/>
      <c r="X7" s="28"/>
      <c r="Y7" s="28"/>
    </row>
    <row r="8" customHeight="1" spans="1:25">
      <c r="A8" s="8" t="s">
        <v>116</v>
      </c>
      <c r="B8" s="25">
        <v>45900</v>
      </c>
      <c r="C8" s="27"/>
      <c r="D8" s="27"/>
      <c r="E8" s="18"/>
      <c r="F8" s="25">
        <v>45930</v>
      </c>
      <c r="G8" s="28"/>
      <c r="H8" s="28"/>
      <c r="J8" s="25">
        <v>45961</v>
      </c>
      <c r="K8" s="28"/>
      <c r="L8" s="28"/>
      <c r="M8" s="32"/>
      <c r="N8" s="28"/>
      <c r="O8" s="33"/>
      <c r="P8" s="33"/>
      <c r="R8" s="32"/>
      <c r="S8" s="33"/>
      <c r="T8" s="33"/>
      <c r="U8" s="33"/>
      <c r="W8" s="32"/>
      <c r="X8" s="28"/>
      <c r="Y8" s="28"/>
    </row>
    <row r="9" customHeight="1" spans="1:25">
      <c r="A9" s="6" t="s">
        <v>89</v>
      </c>
      <c r="B9" s="25">
        <v>45900</v>
      </c>
      <c r="C9" s="27" t="s">
        <v>125</v>
      </c>
      <c r="D9" s="27" t="s">
        <v>124</v>
      </c>
      <c r="E9" s="18"/>
      <c r="F9" s="25">
        <v>45930</v>
      </c>
      <c r="G9" s="28" t="s">
        <v>125</v>
      </c>
      <c r="H9" s="28" t="s">
        <v>124</v>
      </c>
      <c r="J9" s="25">
        <v>45961</v>
      </c>
      <c r="K9" s="28" t="s">
        <v>125</v>
      </c>
      <c r="L9" s="28" t="s">
        <v>124</v>
      </c>
      <c r="M9" s="32"/>
      <c r="N9" s="28"/>
      <c r="O9" s="33"/>
      <c r="P9" s="33"/>
      <c r="R9" s="32"/>
      <c r="S9" s="33"/>
      <c r="T9" s="33"/>
      <c r="U9" s="33"/>
      <c r="W9" s="32"/>
      <c r="X9" s="28"/>
      <c r="Y9" s="28"/>
    </row>
    <row r="10" customHeight="1" spans="1:25">
      <c r="A10" s="6" t="s">
        <v>117</v>
      </c>
      <c r="B10" s="25">
        <v>45900</v>
      </c>
      <c r="C10" s="27"/>
      <c r="D10" s="27"/>
      <c r="E10" s="18"/>
      <c r="F10" s="25">
        <v>45930</v>
      </c>
      <c r="G10" s="28"/>
      <c r="H10" s="28"/>
      <c r="J10" s="25">
        <v>45961</v>
      </c>
      <c r="K10" s="28"/>
      <c r="L10" s="28"/>
      <c r="M10" s="32"/>
      <c r="N10" s="28"/>
      <c r="O10" s="33"/>
      <c r="P10" s="33"/>
      <c r="R10" s="32"/>
      <c r="S10" s="33"/>
      <c r="T10" s="33"/>
      <c r="U10" s="33"/>
      <c r="W10" s="32"/>
      <c r="X10" s="28"/>
      <c r="Y10" s="28"/>
    </row>
    <row r="11" customHeight="1" spans="1:25">
      <c r="A11" s="11" t="s">
        <v>118</v>
      </c>
      <c r="B11" s="25">
        <v>45900</v>
      </c>
      <c r="C11" s="27"/>
      <c r="D11" s="27"/>
      <c r="E11" s="18"/>
      <c r="F11" s="25">
        <v>45930</v>
      </c>
      <c r="G11" s="28"/>
      <c r="H11" s="28"/>
      <c r="J11" s="25">
        <v>45961</v>
      </c>
      <c r="K11" s="28"/>
      <c r="L11" s="28"/>
      <c r="M11" s="32"/>
      <c r="N11" s="28"/>
      <c r="O11" s="33"/>
      <c r="P11" s="33"/>
      <c r="R11" s="32"/>
      <c r="S11" s="33"/>
      <c r="T11" s="33"/>
      <c r="U11" s="33"/>
      <c r="W11" s="32"/>
      <c r="X11" s="28"/>
      <c r="Y11" s="28"/>
    </row>
    <row r="12" customHeight="1" spans="1:25">
      <c r="A12" s="6" t="s">
        <v>119</v>
      </c>
      <c r="B12" s="25">
        <v>45900</v>
      </c>
      <c r="C12" s="27"/>
      <c r="D12" s="27"/>
      <c r="E12" s="18"/>
      <c r="F12" s="25">
        <v>45930</v>
      </c>
      <c r="G12" s="28"/>
      <c r="H12" s="28"/>
      <c r="J12" s="25">
        <v>45961</v>
      </c>
      <c r="K12" s="28"/>
      <c r="L12" s="28"/>
      <c r="M12" s="32"/>
      <c r="N12" s="28"/>
      <c r="O12" s="33"/>
      <c r="P12" s="33"/>
      <c r="R12" s="32"/>
      <c r="S12" s="33"/>
      <c r="T12" s="33"/>
      <c r="U12" s="33"/>
      <c r="W12" s="32"/>
      <c r="X12" s="28"/>
      <c r="Y12" s="28"/>
    </row>
    <row r="13" customHeight="1" spans="1:25">
      <c r="A13" s="11" t="s">
        <v>120</v>
      </c>
      <c r="B13" s="25">
        <v>45900</v>
      </c>
      <c r="C13" s="27"/>
      <c r="D13" s="27"/>
      <c r="E13" s="18"/>
      <c r="F13" s="25">
        <v>45930</v>
      </c>
      <c r="G13" s="28"/>
      <c r="H13" s="28"/>
      <c r="J13" s="25">
        <v>45961</v>
      </c>
      <c r="K13" s="28"/>
      <c r="L13" s="28"/>
      <c r="M13" s="32"/>
      <c r="N13" s="28"/>
      <c r="O13" s="33"/>
      <c r="P13" s="33"/>
      <c r="R13" s="32"/>
      <c r="S13" s="33"/>
      <c r="T13" s="33"/>
      <c r="U13" s="33"/>
      <c r="W13" s="32"/>
      <c r="X13" s="28"/>
      <c r="Y13" s="28"/>
    </row>
    <row r="14" customHeight="1" spans="1:25">
      <c r="A14" s="6" t="s">
        <v>121</v>
      </c>
      <c r="B14" s="25">
        <v>45900</v>
      </c>
      <c r="C14" s="27"/>
      <c r="D14" s="27"/>
      <c r="E14" s="18"/>
      <c r="F14" s="25">
        <v>45930</v>
      </c>
      <c r="G14" s="28" t="s">
        <v>124</v>
      </c>
      <c r="H14" s="28"/>
      <c r="J14" s="25">
        <v>45961</v>
      </c>
      <c r="K14" s="28" t="s">
        <v>124</v>
      </c>
      <c r="L14" s="28"/>
      <c r="M14" s="32"/>
      <c r="N14" s="28"/>
      <c r="O14" s="33"/>
      <c r="P14" s="33"/>
      <c r="R14" s="32"/>
      <c r="S14" s="33"/>
      <c r="T14" s="33"/>
      <c r="U14" s="33"/>
      <c r="W14" s="32"/>
      <c r="X14" s="28"/>
      <c r="Y14" s="28"/>
    </row>
    <row r="15" customHeight="1" spans="2:2">
      <c r="B15" s="18"/>
    </row>
    <row r="16" customHeight="1" spans="2:2">
      <c r="B16" s="18"/>
    </row>
    <row r="17" customHeight="1" spans="2:2">
      <c r="B17" s="18"/>
    </row>
    <row r="18" customHeight="1" spans="2:2">
      <c r="B18" s="18"/>
    </row>
    <row r="19" customHeight="1" spans="2:2">
      <c r="B19" s="18"/>
    </row>
    <row r="20" customHeight="1" spans="2:2">
      <c r="B20" s="18"/>
    </row>
    <row r="21" customHeight="1" spans="2:2">
      <c r="B21" s="18"/>
    </row>
    <row r="22" customHeight="1" spans="2:2">
      <c r="B22" s="18"/>
    </row>
    <row r="23" customHeight="1" spans="2:2">
      <c r="B23" s="18"/>
    </row>
    <row r="24" customHeight="1" spans="2:2">
      <c r="B24" s="18"/>
    </row>
    <row r="25" customHeight="1" spans="2:2">
      <c r="B25" s="18"/>
    </row>
    <row r="26" customHeight="1" spans="2:2">
      <c r="B26" s="18"/>
    </row>
    <row r="27" customHeight="1" spans="2:2">
      <c r="B27" s="18"/>
    </row>
    <row r="28" customHeight="1" spans="2:2">
      <c r="B28" s="18"/>
    </row>
    <row r="29" customHeight="1" spans="2:2">
      <c r="B29" s="18"/>
    </row>
    <row r="30" customHeight="1" spans="2:2">
      <c r="B30" s="18"/>
    </row>
    <row r="31" customHeight="1" spans="2:2">
      <c r="B31" s="18"/>
    </row>
    <row r="32" customHeight="1" spans="2:2">
      <c r="B32" s="18"/>
    </row>
    <row r="33" customHeight="1" spans="2:2">
      <c r="B33" s="18"/>
    </row>
    <row r="34" customHeight="1" spans="2:2">
      <c r="B34" s="18"/>
    </row>
    <row r="35" customHeight="1" spans="2:2">
      <c r="B35" s="18"/>
    </row>
    <row r="36" customHeight="1" spans="2:2">
      <c r="B36" s="18"/>
    </row>
    <row r="37" customHeight="1" spans="2:2">
      <c r="B37" s="18"/>
    </row>
    <row r="38" customHeight="1" spans="2:2">
      <c r="B38" s="18"/>
    </row>
    <row r="39" customHeight="1" spans="2:2">
      <c r="B39" s="18"/>
    </row>
    <row r="40" customHeight="1" spans="2:2">
      <c r="B40" s="18"/>
    </row>
    <row r="41" customHeight="1" spans="2:2">
      <c r="B41" s="18"/>
    </row>
    <row r="42" customHeight="1" spans="1:2">
      <c r="A42" s="6"/>
      <c r="B42" s="18"/>
    </row>
  </sheetData>
  <dataValidations count="3">
    <dataValidation type="custom" allowBlank="1" sqref="B1:B14 F1:F14 J1:J14 M2:M14 P2:P14 R2:R14 U2:U14 W2:W14">
      <formula1>OR(NOT(ISERROR(DATEVALUE(B1))),AND(ISNUMBER(B1),LEFT(CELL("format",B1))="D"))</formula1>
    </dataValidation>
    <dataValidation type="list" allowBlank="1" showErrorMessage="1" sqref="B42">
      <formula1>"夜,明"</formula1>
    </dataValidation>
    <dataValidation type="list" allowBlank="1" showErrorMessage="1" sqref="C2:D14 G2:H14 K2:L14">
      <formula1>"休,明"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32"/>
  <sheetViews>
    <sheetView workbookViewId="0">
      <selection activeCell="A1" sqref="A1"/>
    </sheetView>
  </sheetViews>
  <sheetFormatPr defaultColWidth="12.6272727272727" defaultRowHeight="15.75" customHeight="1" outlineLevelCol="3"/>
  <cols>
    <col min="2" max="2" width="74.1272727272727" customWidth="1"/>
  </cols>
  <sheetData>
    <row r="1" customHeight="1" spans="1:4">
      <c r="A1" s="20" t="s">
        <v>126</v>
      </c>
      <c r="B1" s="20" t="s">
        <v>127</v>
      </c>
      <c r="C1" s="20" t="s">
        <v>128</v>
      </c>
      <c r="D1" s="20" t="s">
        <v>129</v>
      </c>
    </row>
    <row r="2" customHeight="1" spans="1:4">
      <c r="A2" s="21">
        <v>1</v>
      </c>
      <c r="B2" s="22" t="s">
        <v>130</v>
      </c>
      <c r="C2" s="23" t="b">
        <v>0</v>
      </c>
      <c r="D2" s="1" t="s">
        <v>131</v>
      </c>
    </row>
    <row r="3" customHeight="1" spans="1:4">
      <c r="A3" s="21">
        <v>2</v>
      </c>
      <c r="B3" s="22" t="s">
        <v>132</v>
      </c>
      <c r="C3" s="24" t="b">
        <v>0</v>
      </c>
      <c r="D3" s="1" t="s">
        <v>133</v>
      </c>
    </row>
    <row r="4" customHeight="1" spans="1:4">
      <c r="A4" s="21">
        <v>3</v>
      </c>
      <c r="B4" s="22" t="s">
        <v>134</v>
      </c>
      <c r="C4" s="24" t="b">
        <v>0</v>
      </c>
      <c r="D4" s="1" t="s">
        <v>135</v>
      </c>
    </row>
    <row r="5" customHeight="1" spans="1:4">
      <c r="A5" s="21">
        <v>4</v>
      </c>
      <c r="B5" s="22" t="s">
        <v>136</v>
      </c>
      <c r="C5" s="24" t="b">
        <v>0</v>
      </c>
      <c r="D5" s="1" t="s">
        <v>137</v>
      </c>
    </row>
    <row r="6" customHeight="1" spans="1:4">
      <c r="A6" s="21">
        <v>5</v>
      </c>
      <c r="B6" s="22" t="s">
        <v>138</v>
      </c>
      <c r="C6" s="24" t="b">
        <v>0</v>
      </c>
      <c r="D6" s="1" t="s">
        <v>139</v>
      </c>
    </row>
    <row r="7" customHeight="1" spans="1:4">
      <c r="A7" s="21">
        <v>6</v>
      </c>
      <c r="B7" s="22" t="s">
        <v>140</v>
      </c>
      <c r="C7" s="24" t="b">
        <v>0</v>
      </c>
      <c r="D7" s="1" t="s">
        <v>141</v>
      </c>
    </row>
    <row r="8" customHeight="1" spans="1:4">
      <c r="A8" s="21">
        <v>7</v>
      </c>
      <c r="B8" s="22" t="s">
        <v>142</v>
      </c>
      <c r="C8" s="24" t="b">
        <v>0</v>
      </c>
      <c r="D8" s="1" t="s">
        <v>143</v>
      </c>
    </row>
    <row r="9" customHeight="1" spans="1:4">
      <c r="A9" s="21">
        <v>8</v>
      </c>
      <c r="B9" s="22" t="s">
        <v>144</v>
      </c>
      <c r="C9" s="24" t="b">
        <v>0</v>
      </c>
      <c r="D9" s="1" t="s">
        <v>145</v>
      </c>
    </row>
    <row r="10" customHeight="1" spans="1:4">
      <c r="A10" s="21">
        <v>9</v>
      </c>
      <c r="B10" s="22" t="s">
        <v>146</v>
      </c>
      <c r="C10" s="24" t="b">
        <v>0</v>
      </c>
      <c r="D10" s="1" t="s">
        <v>147</v>
      </c>
    </row>
    <row r="11" customHeight="1" spans="1:4">
      <c r="A11" s="21">
        <v>10</v>
      </c>
      <c r="B11" s="22" t="s">
        <v>148</v>
      </c>
      <c r="C11" s="24" t="b">
        <v>0</v>
      </c>
      <c r="D11" s="1" t="s">
        <v>149</v>
      </c>
    </row>
    <row r="12" customHeight="1" spans="1:4">
      <c r="A12" s="21">
        <v>11</v>
      </c>
      <c r="B12" s="22" t="s">
        <v>150</v>
      </c>
      <c r="C12" s="24" t="b">
        <v>0</v>
      </c>
      <c r="D12" s="1" t="s">
        <v>151</v>
      </c>
    </row>
    <row r="13" customHeight="1" spans="1:4">
      <c r="A13" s="21">
        <v>12</v>
      </c>
      <c r="B13" s="22" t="s">
        <v>152</v>
      </c>
      <c r="C13" s="24" t="b">
        <v>0</v>
      </c>
      <c r="D13" s="1" t="s">
        <v>151</v>
      </c>
    </row>
    <row r="14" customHeight="1" spans="1:4">
      <c r="A14" s="21">
        <v>13</v>
      </c>
      <c r="B14" s="22" t="s">
        <v>153</v>
      </c>
      <c r="C14" s="23" t="b">
        <v>0</v>
      </c>
      <c r="D14" s="1" t="s">
        <v>154</v>
      </c>
    </row>
    <row r="18" customHeight="1" spans="1:3">
      <c r="A18" s="1" t="s">
        <v>155</v>
      </c>
      <c r="B18" s="18"/>
      <c r="C18" s="18"/>
    </row>
    <row r="19" customHeight="1" spans="1:3">
      <c r="A19" s="20" t="s">
        <v>126</v>
      </c>
      <c r="B19" s="20" t="s">
        <v>127</v>
      </c>
      <c r="C19" s="20"/>
    </row>
    <row r="20" customHeight="1" spans="1:3">
      <c r="A20" s="1">
        <v>1</v>
      </c>
      <c r="B20" s="1" t="s">
        <v>156</v>
      </c>
      <c r="C20" s="1"/>
    </row>
    <row r="21" customHeight="1" spans="1:3">
      <c r="A21" s="1">
        <v>2</v>
      </c>
      <c r="B21" s="1" t="s">
        <v>157</v>
      </c>
      <c r="C21" s="1"/>
    </row>
    <row r="22" customHeight="1" spans="1:3">
      <c r="A22" s="1">
        <v>3</v>
      </c>
      <c r="B22" s="1" t="s">
        <v>158</v>
      </c>
      <c r="C22" s="1"/>
    </row>
    <row r="23" customHeight="1" spans="1:3">
      <c r="A23" s="1">
        <v>4</v>
      </c>
      <c r="B23" s="1" t="s">
        <v>159</v>
      </c>
      <c r="C23" s="1"/>
    </row>
    <row r="24" customHeight="1" spans="1:3">
      <c r="A24" s="1">
        <v>5</v>
      </c>
      <c r="B24" s="1" t="s">
        <v>160</v>
      </c>
      <c r="C24" s="1"/>
    </row>
    <row r="25" customHeight="1" spans="1:3">
      <c r="A25" s="1">
        <v>6</v>
      </c>
      <c r="B25" s="1" t="s">
        <v>161</v>
      </c>
      <c r="C25" s="1"/>
    </row>
    <row r="26" customHeight="1" spans="1:3">
      <c r="A26" s="1">
        <v>7</v>
      </c>
      <c r="B26" s="1" t="s">
        <v>162</v>
      </c>
      <c r="C26" s="1"/>
    </row>
    <row r="27" customHeight="1" spans="1:3">
      <c r="A27" s="1">
        <v>8</v>
      </c>
      <c r="B27" s="1" t="s">
        <v>163</v>
      </c>
      <c r="C27" s="1"/>
    </row>
    <row r="28" customHeight="1" spans="1:3">
      <c r="A28" s="1">
        <v>9</v>
      </c>
      <c r="B28" s="1" t="s">
        <v>164</v>
      </c>
      <c r="C28" s="1"/>
    </row>
    <row r="29" customHeight="1" spans="1:3">
      <c r="A29" s="1">
        <v>10</v>
      </c>
      <c r="B29" s="1" t="s">
        <v>165</v>
      </c>
      <c r="C29" s="1"/>
    </row>
    <row r="30" customHeight="1" spans="1:3">
      <c r="A30" s="1">
        <v>11</v>
      </c>
      <c r="B30" s="1" t="s">
        <v>166</v>
      </c>
      <c r="C30" s="1"/>
    </row>
    <row r="31" customHeight="1" spans="1:3">
      <c r="A31" s="1">
        <v>12</v>
      </c>
      <c r="B31" s="1" t="s">
        <v>167</v>
      </c>
      <c r="C31" s="1"/>
    </row>
    <row r="32" customHeight="1" spans="1:3">
      <c r="A32" s="1">
        <v>13</v>
      </c>
      <c r="B32" s="1" t="s">
        <v>168</v>
      </c>
      <c r="C32" s="1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O56"/>
  <sheetViews>
    <sheetView workbookViewId="0">
      <selection activeCell="A1" sqref="A1"/>
    </sheetView>
  </sheetViews>
  <sheetFormatPr defaultColWidth="12.6272727272727" defaultRowHeight="15.75" customHeight="1"/>
  <cols>
    <col min="1" max="1" width="15.7545454545455" customWidth="1"/>
  </cols>
  <sheetData>
    <row r="1" ht="13" spans="1:41">
      <c r="A1" s="1" t="s">
        <v>1</v>
      </c>
      <c r="B1" s="2">
        <v>45992</v>
      </c>
      <c r="C1" s="3">
        <v>45993</v>
      </c>
      <c r="D1" s="3">
        <v>45994</v>
      </c>
      <c r="E1" s="3">
        <v>45995</v>
      </c>
      <c r="F1" s="3">
        <v>45996</v>
      </c>
      <c r="G1" s="3">
        <v>45997</v>
      </c>
      <c r="H1" s="3">
        <v>45998</v>
      </c>
      <c r="I1" s="3">
        <v>45999</v>
      </c>
      <c r="J1" s="3">
        <v>46000</v>
      </c>
      <c r="K1" s="3">
        <v>46001</v>
      </c>
      <c r="L1" s="3">
        <v>46002</v>
      </c>
      <c r="M1" s="3">
        <v>46003</v>
      </c>
      <c r="N1" s="3">
        <v>46004</v>
      </c>
      <c r="O1" s="3">
        <v>46005</v>
      </c>
      <c r="P1" s="3">
        <v>46006</v>
      </c>
      <c r="Q1" s="3">
        <v>46007</v>
      </c>
      <c r="R1" s="3">
        <v>46008</v>
      </c>
      <c r="S1" s="3">
        <v>46009</v>
      </c>
      <c r="T1" s="3">
        <v>46010</v>
      </c>
      <c r="U1" s="3">
        <v>46011</v>
      </c>
      <c r="V1" s="3">
        <v>46012</v>
      </c>
      <c r="W1" s="3">
        <v>46013</v>
      </c>
      <c r="X1" s="3">
        <v>46014</v>
      </c>
      <c r="Y1" s="3">
        <v>46015</v>
      </c>
      <c r="Z1" s="3">
        <v>46016</v>
      </c>
      <c r="AA1" s="3">
        <v>46017</v>
      </c>
      <c r="AB1" s="3">
        <v>46018</v>
      </c>
      <c r="AC1" s="3">
        <v>46019</v>
      </c>
      <c r="AD1" s="3">
        <v>46020</v>
      </c>
      <c r="AE1" s="3">
        <v>46021</v>
      </c>
      <c r="AF1" s="16">
        <v>46022</v>
      </c>
      <c r="AG1" s="1" t="s">
        <v>77</v>
      </c>
      <c r="AH1" s="1" t="s">
        <v>78</v>
      </c>
      <c r="AI1" s="1" t="s">
        <v>79</v>
      </c>
      <c r="AJ1" s="1" t="s">
        <v>80</v>
      </c>
      <c r="AK1" s="1" t="s">
        <v>81</v>
      </c>
      <c r="AL1" s="1" t="s">
        <v>82</v>
      </c>
      <c r="AM1" s="1" t="s">
        <v>83</v>
      </c>
      <c r="AN1" s="1" t="s">
        <v>84</v>
      </c>
      <c r="AO1" s="1" t="s">
        <v>84</v>
      </c>
    </row>
    <row r="2" ht="13" spans="1:41">
      <c r="A2" s="4" t="s">
        <v>114</v>
      </c>
      <c r="B2" s="5" t="s">
        <v>124</v>
      </c>
      <c r="C2" s="5" t="s">
        <v>124</v>
      </c>
      <c r="D2" s="5" t="s">
        <v>169</v>
      </c>
      <c r="E2" s="5" t="s">
        <v>170</v>
      </c>
      <c r="F2" s="5" t="s">
        <v>169</v>
      </c>
      <c r="G2" s="5" t="s">
        <v>124</v>
      </c>
      <c r="H2" s="5" t="s">
        <v>170</v>
      </c>
      <c r="I2" s="5" t="s">
        <v>124</v>
      </c>
      <c r="J2" s="5" t="s">
        <v>124</v>
      </c>
      <c r="K2" s="5" t="s">
        <v>169</v>
      </c>
      <c r="L2" s="5" t="s">
        <v>124</v>
      </c>
      <c r="M2" s="5" t="s">
        <v>169</v>
      </c>
      <c r="N2" s="5" t="s">
        <v>124</v>
      </c>
      <c r="O2" s="5" t="s">
        <v>170</v>
      </c>
      <c r="P2" s="5" t="s">
        <v>124</v>
      </c>
      <c r="Q2" s="5" t="s">
        <v>124</v>
      </c>
      <c r="R2" s="5" t="s">
        <v>169</v>
      </c>
      <c r="S2" s="5" t="s">
        <v>95</v>
      </c>
      <c r="T2" s="5" t="s">
        <v>95</v>
      </c>
      <c r="U2" s="5" t="s">
        <v>95</v>
      </c>
      <c r="V2" s="5" t="s">
        <v>95</v>
      </c>
      <c r="W2" s="5" t="s">
        <v>95</v>
      </c>
      <c r="X2" s="5" t="s">
        <v>95</v>
      </c>
      <c r="Y2" s="5" t="s">
        <v>95</v>
      </c>
      <c r="Z2" s="5" t="s">
        <v>95</v>
      </c>
      <c r="AA2" s="5" t="s">
        <v>95</v>
      </c>
      <c r="AB2" s="5" t="s">
        <v>95</v>
      </c>
      <c r="AC2" s="5" t="s">
        <v>95</v>
      </c>
      <c r="AD2" s="5" t="s">
        <v>95</v>
      </c>
      <c r="AE2" s="5" t="s">
        <v>95</v>
      </c>
      <c r="AF2" s="5" t="s">
        <v>95</v>
      </c>
      <c r="AG2" s="18">
        <f t="shared" ref="AG2:AG56" si="0">COUNTIF(B2:AF2,"早")</f>
        <v>0</v>
      </c>
      <c r="AH2" s="18">
        <f t="shared" ref="AH2:AH56" si="1">COUNTIF(B2:AF2,"日")</f>
        <v>3</v>
      </c>
      <c r="AI2" s="18">
        <f t="shared" ref="AI2:AI56" si="2">COUNTIF(B2:AF2,"遅")</f>
        <v>0</v>
      </c>
      <c r="AJ2" s="18">
        <f t="shared" ref="AJ2:AJ56" si="3">COUNTIF(B2:AF2,"夜")</f>
        <v>0</v>
      </c>
      <c r="AK2" s="18">
        <f t="shared" ref="AK2:AK56" si="4">COUNTIF(B2:AF2,"明")</f>
        <v>0</v>
      </c>
      <c r="AL2" s="18">
        <f t="shared" ref="AL2:AL56" si="5">COUNTIF(B2:AF2,"*休*")</f>
        <v>9</v>
      </c>
      <c r="AM2" s="18">
        <f t="shared" ref="AM2:AM56" si="6">AG2+AH2+AI2+AJ2</f>
        <v>3</v>
      </c>
      <c r="AN2" s="18">
        <f t="shared" ref="AN2:AN56" si="7">COUNTIF(B2:AF2,"日")</f>
        <v>3</v>
      </c>
      <c r="AO2" s="14">
        <v>0</v>
      </c>
    </row>
    <row r="3" ht="13" spans="1:41">
      <c r="A3" s="6" t="s">
        <v>85</v>
      </c>
      <c r="B3" t="s">
        <v>171</v>
      </c>
      <c r="C3" t="s">
        <v>170</v>
      </c>
      <c r="D3" s="7" t="s">
        <v>170</v>
      </c>
      <c r="E3" t="s">
        <v>124</v>
      </c>
      <c r="F3" t="s">
        <v>124</v>
      </c>
      <c r="G3" t="s">
        <v>172</v>
      </c>
      <c r="H3" t="s">
        <v>125</v>
      </c>
      <c r="I3" t="s">
        <v>124</v>
      </c>
      <c r="J3" t="s">
        <v>170</v>
      </c>
      <c r="K3" t="s">
        <v>172</v>
      </c>
      <c r="L3" t="s">
        <v>125</v>
      </c>
      <c r="M3" t="s">
        <v>124</v>
      </c>
      <c r="N3" t="s">
        <v>173</v>
      </c>
      <c r="O3" t="s">
        <v>170</v>
      </c>
      <c r="P3" t="s">
        <v>173</v>
      </c>
      <c r="Q3" t="s">
        <v>172</v>
      </c>
      <c r="R3" t="s">
        <v>125</v>
      </c>
      <c r="S3" t="s">
        <v>124</v>
      </c>
      <c r="T3" s="7" t="s">
        <v>170</v>
      </c>
      <c r="U3" t="s">
        <v>172</v>
      </c>
      <c r="V3" t="s">
        <v>125</v>
      </c>
      <c r="W3" t="s">
        <v>124</v>
      </c>
      <c r="X3" t="s">
        <v>171</v>
      </c>
      <c r="Y3" t="s">
        <v>170</v>
      </c>
      <c r="Z3" t="s">
        <v>170</v>
      </c>
      <c r="AA3" t="s">
        <v>172</v>
      </c>
      <c r="AB3" t="s">
        <v>125</v>
      </c>
      <c r="AC3" t="s">
        <v>124</v>
      </c>
      <c r="AD3" t="s">
        <v>124</v>
      </c>
      <c r="AE3" t="s">
        <v>124</v>
      </c>
      <c r="AF3" t="s">
        <v>171</v>
      </c>
      <c r="AG3" s="18">
        <f t="shared" si="0"/>
        <v>2</v>
      </c>
      <c r="AH3" s="18">
        <f t="shared" si="1"/>
        <v>7</v>
      </c>
      <c r="AI3" s="18">
        <f t="shared" si="2"/>
        <v>3</v>
      </c>
      <c r="AJ3" s="18">
        <f t="shared" si="3"/>
        <v>5</v>
      </c>
      <c r="AK3" s="18">
        <f t="shared" si="4"/>
        <v>5</v>
      </c>
      <c r="AL3" s="18">
        <f t="shared" si="5"/>
        <v>9</v>
      </c>
      <c r="AM3" s="18">
        <f t="shared" si="6"/>
        <v>17</v>
      </c>
      <c r="AN3" s="18">
        <f t="shared" si="7"/>
        <v>7</v>
      </c>
      <c r="AO3" s="14">
        <v>2</v>
      </c>
    </row>
    <row r="4" ht="13" spans="1:41">
      <c r="A4" s="8" t="s">
        <v>115</v>
      </c>
      <c r="B4" t="s">
        <v>170</v>
      </c>
      <c r="C4" t="s">
        <v>124</v>
      </c>
      <c r="D4" t="s">
        <v>124</v>
      </c>
      <c r="E4" s="7" t="s">
        <v>170</v>
      </c>
      <c r="F4" t="s">
        <v>171</v>
      </c>
      <c r="G4" t="s">
        <v>172</v>
      </c>
      <c r="H4" t="s">
        <v>125</v>
      </c>
      <c r="I4" t="s">
        <v>124</v>
      </c>
      <c r="J4" t="s">
        <v>124</v>
      </c>
      <c r="K4" t="s">
        <v>124</v>
      </c>
      <c r="L4" t="s">
        <v>173</v>
      </c>
      <c r="M4" t="s">
        <v>124</v>
      </c>
      <c r="N4" t="s">
        <v>172</v>
      </c>
      <c r="O4" t="s">
        <v>125</v>
      </c>
      <c r="P4" t="s">
        <v>124</v>
      </c>
      <c r="Q4" t="s">
        <v>172</v>
      </c>
      <c r="R4" t="s">
        <v>125</v>
      </c>
      <c r="S4" t="s">
        <v>124</v>
      </c>
      <c r="T4" s="7" t="s">
        <v>170</v>
      </c>
      <c r="U4" t="s">
        <v>173</v>
      </c>
      <c r="V4" t="s">
        <v>171</v>
      </c>
      <c r="W4" s="7" t="s">
        <v>170</v>
      </c>
      <c r="X4" s="12"/>
      <c r="Y4" t="s">
        <v>172</v>
      </c>
      <c r="Z4" t="s">
        <v>125</v>
      </c>
      <c r="AA4" t="s">
        <v>124</v>
      </c>
      <c r="AB4" t="s">
        <v>170</v>
      </c>
      <c r="AC4" t="s">
        <v>173</v>
      </c>
      <c r="AD4" s="7" t="s">
        <v>170</v>
      </c>
      <c r="AE4" t="s">
        <v>170</v>
      </c>
      <c r="AF4" t="s">
        <v>171</v>
      </c>
      <c r="AG4" s="18">
        <f t="shared" si="0"/>
        <v>3</v>
      </c>
      <c r="AH4" s="18">
        <f t="shared" si="1"/>
        <v>7</v>
      </c>
      <c r="AI4" s="18">
        <f t="shared" si="2"/>
        <v>3</v>
      </c>
      <c r="AJ4" s="18">
        <f t="shared" si="3"/>
        <v>4</v>
      </c>
      <c r="AK4" s="18">
        <f t="shared" si="4"/>
        <v>4</v>
      </c>
      <c r="AL4" s="18">
        <f t="shared" si="5"/>
        <v>9</v>
      </c>
      <c r="AM4" s="18">
        <f t="shared" si="6"/>
        <v>17</v>
      </c>
      <c r="AN4" s="18">
        <f t="shared" si="7"/>
        <v>7</v>
      </c>
      <c r="AO4" s="14">
        <v>4</v>
      </c>
    </row>
    <row r="5" ht="13" spans="1:41">
      <c r="A5" s="6" t="s">
        <v>86</v>
      </c>
      <c r="B5" s="5" t="s">
        <v>124</v>
      </c>
      <c r="C5" s="9" t="s">
        <v>172</v>
      </c>
      <c r="D5" s="9" t="s">
        <v>125</v>
      </c>
      <c r="E5" s="9" t="s">
        <v>124</v>
      </c>
      <c r="F5" s="9" t="s">
        <v>124</v>
      </c>
      <c r="G5" t="s">
        <v>172</v>
      </c>
      <c r="H5" t="s">
        <v>125</v>
      </c>
      <c r="I5" t="s">
        <v>124</v>
      </c>
      <c r="J5" t="s">
        <v>173</v>
      </c>
      <c r="K5" t="s">
        <v>172</v>
      </c>
      <c r="L5" t="s">
        <v>125</v>
      </c>
      <c r="M5" t="s">
        <v>124</v>
      </c>
      <c r="N5" t="s">
        <v>171</v>
      </c>
      <c r="O5" s="9" t="s">
        <v>172</v>
      </c>
      <c r="P5" s="9" t="s">
        <v>125</v>
      </c>
      <c r="Q5" s="9" t="s">
        <v>124</v>
      </c>
      <c r="R5" t="s">
        <v>172</v>
      </c>
      <c r="S5" t="s">
        <v>125</v>
      </c>
      <c r="T5" t="s">
        <v>124</v>
      </c>
      <c r="U5" t="s">
        <v>172</v>
      </c>
      <c r="V5" t="s">
        <v>125</v>
      </c>
      <c r="W5" t="s">
        <v>124</v>
      </c>
      <c r="X5" t="s">
        <v>173</v>
      </c>
      <c r="Y5" s="9" t="s">
        <v>172</v>
      </c>
      <c r="Z5" s="9" t="s">
        <v>125</v>
      </c>
      <c r="AA5" s="9" t="s">
        <v>124</v>
      </c>
      <c r="AB5" t="s">
        <v>172</v>
      </c>
      <c r="AC5" t="s">
        <v>125</v>
      </c>
      <c r="AD5" t="s">
        <v>124</v>
      </c>
      <c r="AE5" t="s">
        <v>171</v>
      </c>
      <c r="AF5" s="7" t="s">
        <v>170</v>
      </c>
      <c r="AG5" s="18">
        <f t="shared" si="0"/>
        <v>2</v>
      </c>
      <c r="AH5" s="18">
        <f t="shared" si="1"/>
        <v>1</v>
      </c>
      <c r="AI5" s="18">
        <f t="shared" si="2"/>
        <v>2</v>
      </c>
      <c r="AJ5" s="18">
        <f t="shared" si="3"/>
        <v>8</v>
      </c>
      <c r="AK5" s="18">
        <f t="shared" si="4"/>
        <v>8</v>
      </c>
      <c r="AL5" s="18">
        <f t="shared" si="5"/>
        <v>10</v>
      </c>
      <c r="AM5" s="18">
        <f t="shared" si="6"/>
        <v>13</v>
      </c>
      <c r="AN5" s="18">
        <f t="shared" si="7"/>
        <v>1</v>
      </c>
      <c r="AO5" s="14">
        <v>1</v>
      </c>
    </row>
    <row r="6" ht="13" spans="1:41">
      <c r="A6" s="8" t="s">
        <v>87</v>
      </c>
      <c r="B6" s="5" t="s">
        <v>173</v>
      </c>
      <c r="C6" s="5" t="s">
        <v>124</v>
      </c>
      <c r="D6" s="5" t="s">
        <v>172</v>
      </c>
      <c r="E6" s="5" t="s">
        <v>125</v>
      </c>
      <c r="F6" s="5" t="s">
        <v>124</v>
      </c>
      <c r="G6" s="10" t="s">
        <v>170</v>
      </c>
      <c r="H6" s="5" t="s">
        <v>171</v>
      </c>
      <c r="I6" s="5" t="s">
        <v>170</v>
      </c>
      <c r="J6" s="5" t="s">
        <v>172</v>
      </c>
      <c r="K6" s="5" t="s">
        <v>125</v>
      </c>
      <c r="L6" s="5" t="s">
        <v>124</v>
      </c>
      <c r="M6" t="s">
        <v>170</v>
      </c>
      <c r="N6" t="s">
        <v>171</v>
      </c>
      <c r="O6" t="s">
        <v>174</v>
      </c>
      <c r="P6" t="s">
        <v>92</v>
      </c>
      <c r="Q6" t="s">
        <v>92</v>
      </c>
      <c r="R6" t="s">
        <v>172</v>
      </c>
      <c r="S6" t="s">
        <v>125</v>
      </c>
      <c r="T6" t="s">
        <v>124</v>
      </c>
      <c r="U6" t="s">
        <v>172</v>
      </c>
      <c r="V6" t="s">
        <v>125</v>
      </c>
      <c r="W6" t="s">
        <v>124</v>
      </c>
      <c r="X6" t="s">
        <v>173</v>
      </c>
      <c r="Y6" s="7" t="s">
        <v>170</v>
      </c>
      <c r="Z6" t="s">
        <v>170</v>
      </c>
      <c r="AA6" t="s">
        <v>173</v>
      </c>
      <c r="AB6" s="7" t="s">
        <v>170</v>
      </c>
      <c r="AC6" t="s">
        <v>172</v>
      </c>
      <c r="AD6" t="s">
        <v>125</v>
      </c>
      <c r="AE6" t="s">
        <v>124</v>
      </c>
      <c r="AF6" t="s">
        <v>170</v>
      </c>
      <c r="AG6" s="18">
        <f t="shared" si="0"/>
        <v>3</v>
      </c>
      <c r="AH6" s="18">
        <f t="shared" si="1"/>
        <v>7</v>
      </c>
      <c r="AI6" s="18">
        <f t="shared" si="2"/>
        <v>2</v>
      </c>
      <c r="AJ6" s="18">
        <f t="shared" si="3"/>
        <v>5</v>
      </c>
      <c r="AK6" s="18">
        <f t="shared" si="4"/>
        <v>5</v>
      </c>
      <c r="AL6" s="19">
        <f t="shared" si="5"/>
        <v>8</v>
      </c>
      <c r="AM6" s="18">
        <f t="shared" si="6"/>
        <v>17</v>
      </c>
      <c r="AN6" s="18">
        <f t="shared" si="7"/>
        <v>7</v>
      </c>
      <c r="AO6" s="14">
        <v>3</v>
      </c>
    </row>
    <row r="7" ht="13" spans="1:41">
      <c r="A7" s="6" t="s">
        <v>88</v>
      </c>
      <c r="B7" s="5" t="s">
        <v>170</v>
      </c>
      <c r="C7" t="s">
        <v>171</v>
      </c>
      <c r="D7" t="s">
        <v>124</v>
      </c>
      <c r="E7" t="s">
        <v>124</v>
      </c>
      <c r="F7" t="s">
        <v>172</v>
      </c>
      <c r="G7" t="s">
        <v>125</v>
      </c>
      <c r="H7" t="s">
        <v>124</v>
      </c>
      <c r="I7" s="7" t="s">
        <v>170</v>
      </c>
      <c r="J7" t="s">
        <v>172</v>
      </c>
      <c r="K7" t="s">
        <v>125</v>
      </c>
      <c r="L7" t="s">
        <v>124</v>
      </c>
      <c r="M7" t="s">
        <v>173</v>
      </c>
      <c r="N7" t="s">
        <v>173</v>
      </c>
      <c r="O7" t="s">
        <v>171</v>
      </c>
      <c r="P7" s="7" t="s">
        <v>170</v>
      </c>
      <c r="Q7" t="s">
        <v>92</v>
      </c>
      <c r="R7" t="s">
        <v>172</v>
      </c>
      <c r="S7" t="s">
        <v>125</v>
      </c>
      <c r="T7" t="s">
        <v>124</v>
      </c>
      <c r="U7" t="s">
        <v>172</v>
      </c>
      <c r="V7" t="s">
        <v>125</v>
      </c>
      <c r="W7" t="s">
        <v>124</v>
      </c>
      <c r="X7" t="s">
        <v>170</v>
      </c>
      <c r="Y7" t="s">
        <v>170</v>
      </c>
      <c r="Z7" s="9" t="s">
        <v>173</v>
      </c>
      <c r="AA7" s="7" t="s">
        <v>170</v>
      </c>
      <c r="AB7" t="s">
        <v>172</v>
      </c>
      <c r="AC7" t="s">
        <v>125</v>
      </c>
      <c r="AD7" t="s">
        <v>124</v>
      </c>
      <c r="AE7" t="s">
        <v>170</v>
      </c>
      <c r="AF7" t="s">
        <v>124</v>
      </c>
      <c r="AG7" s="18">
        <f t="shared" si="0"/>
        <v>3</v>
      </c>
      <c r="AH7" s="18">
        <f t="shared" si="1"/>
        <v>7</v>
      </c>
      <c r="AI7" s="18">
        <f t="shared" si="2"/>
        <v>2</v>
      </c>
      <c r="AJ7" s="18">
        <f t="shared" si="3"/>
        <v>5</v>
      </c>
      <c r="AK7" s="18">
        <f t="shared" si="4"/>
        <v>5</v>
      </c>
      <c r="AL7" s="18">
        <f t="shared" si="5"/>
        <v>9</v>
      </c>
      <c r="AM7" s="18">
        <f t="shared" si="6"/>
        <v>17</v>
      </c>
      <c r="AN7" s="18">
        <f t="shared" si="7"/>
        <v>7</v>
      </c>
      <c r="AO7" s="14">
        <v>3</v>
      </c>
    </row>
    <row r="8" ht="13" spans="1:41">
      <c r="A8" s="8" t="s">
        <v>116</v>
      </c>
      <c r="B8" s="5" t="s">
        <v>172</v>
      </c>
      <c r="C8" s="5" t="s">
        <v>125</v>
      </c>
      <c r="D8" s="5" t="s">
        <v>124</v>
      </c>
      <c r="E8" t="s">
        <v>173</v>
      </c>
      <c r="F8" s="7" t="s">
        <v>170</v>
      </c>
      <c r="G8" t="s">
        <v>170</v>
      </c>
      <c r="H8" t="s">
        <v>171</v>
      </c>
      <c r="I8" t="s">
        <v>124</v>
      </c>
      <c r="J8" t="s">
        <v>124</v>
      </c>
      <c r="K8" t="s">
        <v>172</v>
      </c>
      <c r="L8" t="s">
        <v>125</v>
      </c>
      <c r="M8" t="s">
        <v>124</v>
      </c>
      <c r="N8" t="s">
        <v>92</v>
      </c>
      <c r="O8" t="s">
        <v>92</v>
      </c>
      <c r="P8" t="s">
        <v>171</v>
      </c>
      <c r="Q8" s="7" t="s">
        <v>170</v>
      </c>
      <c r="R8" t="s">
        <v>172</v>
      </c>
      <c r="S8" t="s">
        <v>125</v>
      </c>
      <c r="T8" t="s">
        <v>124</v>
      </c>
      <c r="U8" s="7" t="s">
        <v>170</v>
      </c>
      <c r="V8" t="s">
        <v>173</v>
      </c>
      <c r="W8" t="s">
        <v>170</v>
      </c>
      <c r="X8" t="s">
        <v>172</v>
      </c>
      <c r="Y8" t="s">
        <v>125</v>
      </c>
      <c r="Z8" t="s">
        <v>124</v>
      </c>
      <c r="AA8" t="s">
        <v>173</v>
      </c>
      <c r="AB8" t="s">
        <v>170</v>
      </c>
      <c r="AC8" t="s">
        <v>170</v>
      </c>
      <c r="AD8" t="s">
        <v>170</v>
      </c>
      <c r="AE8" s="9" t="s">
        <v>172</v>
      </c>
      <c r="AF8" s="9" t="s">
        <v>125</v>
      </c>
      <c r="AG8" s="18">
        <f t="shared" si="0"/>
        <v>3</v>
      </c>
      <c r="AH8" s="18">
        <f t="shared" si="1"/>
        <v>8</v>
      </c>
      <c r="AI8" s="18">
        <f t="shared" si="2"/>
        <v>2</v>
      </c>
      <c r="AJ8" s="18">
        <f t="shared" si="3"/>
        <v>5</v>
      </c>
      <c r="AK8" s="18">
        <f t="shared" si="4"/>
        <v>5</v>
      </c>
      <c r="AL8" s="19">
        <f t="shared" si="5"/>
        <v>8</v>
      </c>
      <c r="AM8" s="18">
        <f t="shared" si="6"/>
        <v>18</v>
      </c>
      <c r="AN8" s="18">
        <f t="shared" si="7"/>
        <v>8</v>
      </c>
      <c r="AO8" s="14">
        <v>3</v>
      </c>
    </row>
    <row r="9" ht="13" spans="1:41">
      <c r="A9" s="6" t="s">
        <v>89</v>
      </c>
      <c r="B9" s="5" t="s">
        <v>124</v>
      </c>
      <c r="C9" s="7" t="s">
        <v>170</v>
      </c>
      <c r="D9" t="s">
        <v>171</v>
      </c>
      <c r="E9" t="s">
        <v>172</v>
      </c>
      <c r="F9" t="s">
        <v>125</v>
      </c>
      <c r="G9" t="s">
        <v>124</v>
      </c>
      <c r="H9" t="s">
        <v>173</v>
      </c>
      <c r="I9" s="7" t="s">
        <v>170</v>
      </c>
      <c r="J9" t="s">
        <v>170</v>
      </c>
      <c r="K9" t="s">
        <v>172</v>
      </c>
      <c r="L9" t="s">
        <v>125</v>
      </c>
      <c r="M9" t="s">
        <v>124</v>
      </c>
      <c r="N9" s="7" t="s">
        <v>170</v>
      </c>
      <c r="O9" t="s">
        <v>172</v>
      </c>
      <c r="P9" t="s">
        <v>125</v>
      </c>
      <c r="Q9" t="s">
        <v>124</v>
      </c>
      <c r="R9" t="s">
        <v>171</v>
      </c>
      <c r="S9" t="s">
        <v>170</v>
      </c>
      <c r="T9" t="s">
        <v>173</v>
      </c>
      <c r="U9" t="s">
        <v>172</v>
      </c>
      <c r="V9" t="s">
        <v>125</v>
      </c>
      <c r="W9" t="s">
        <v>124</v>
      </c>
      <c r="X9" t="s">
        <v>170</v>
      </c>
      <c r="Y9" s="9" t="s">
        <v>173</v>
      </c>
      <c r="Z9" s="9" t="s">
        <v>92</v>
      </c>
      <c r="AA9" s="9" t="s">
        <v>92</v>
      </c>
      <c r="AB9" s="7" t="s">
        <v>170</v>
      </c>
      <c r="AC9" t="s">
        <v>172</v>
      </c>
      <c r="AD9" t="s">
        <v>125</v>
      </c>
      <c r="AE9" t="s">
        <v>124</v>
      </c>
      <c r="AF9" t="s">
        <v>170</v>
      </c>
      <c r="AG9" s="18">
        <f t="shared" si="0"/>
        <v>3</v>
      </c>
      <c r="AH9" s="18">
        <f t="shared" si="1"/>
        <v>8</v>
      </c>
      <c r="AI9" s="18">
        <f t="shared" si="2"/>
        <v>2</v>
      </c>
      <c r="AJ9" s="18">
        <f t="shared" si="3"/>
        <v>5</v>
      </c>
      <c r="AK9" s="18">
        <f t="shared" si="4"/>
        <v>5</v>
      </c>
      <c r="AL9" s="19">
        <f t="shared" si="5"/>
        <v>8</v>
      </c>
      <c r="AM9" s="18">
        <f t="shared" si="6"/>
        <v>18</v>
      </c>
      <c r="AN9" s="18">
        <f t="shared" si="7"/>
        <v>8</v>
      </c>
      <c r="AO9" s="14">
        <v>4</v>
      </c>
    </row>
    <row r="10" ht="13" spans="1:41">
      <c r="A10" s="6" t="s">
        <v>90</v>
      </c>
      <c r="B10" s="5" t="s">
        <v>124</v>
      </c>
      <c r="C10" t="s">
        <v>173</v>
      </c>
      <c r="D10" t="s">
        <v>170</v>
      </c>
      <c r="E10" t="s">
        <v>172</v>
      </c>
      <c r="F10" t="s">
        <v>125</v>
      </c>
      <c r="G10" t="s">
        <v>124</v>
      </c>
      <c r="H10" s="7" t="s">
        <v>170</v>
      </c>
      <c r="I10" t="s">
        <v>170</v>
      </c>
      <c r="J10" t="s">
        <v>171</v>
      </c>
      <c r="K10" t="s">
        <v>124</v>
      </c>
      <c r="L10" t="s">
        <v>92</v>
      </c>
      <c r="M10" t="s">
        <v>172</v>
      </c>
      <c r="N10" t="s">
        <v>125</v>
      </c>
      <c r="O10" t="s">
        <v>124</v>
      </c>
      <c r="P10" t="s">
        <v>124</v>
      </c>
      <c r="Q10" t="s">
        <v>173</v>
      </c>
      <c r="R10" s="12"/>
      <c r="S10" s="9" t="s">
        <v>172</v>
      </c>
      <c r="T10" s="9" t="s">
        <v>125</v>
      </c>
      <c r="U10" t="s">
        <v>124</v>
      </c>
      <c r="V10" t="s">
        <v>172</v>
      </c>
      <c r="W10" t="s">
        <v>125</v>
      </c>
      <c r="X10" t="s">
        <v>124</v>
      </c>
      <c r="Y10" t="s">
        <v>172</v>
      </c>
      <c r="Z10" t="s">
        <v>125</v>
      </c>
      <c r="AA10" t="s">
        <v>124</v>
      </c>
      <c r="AB10" t="s">
        <v>171</v>
      </c>
      <c r="AC10" t="s">
        <v>171</v>
      </c>
      <c r="AD10" s="7" t="s">
        <v>170</v>
      </c>
      <c r="AE10" s="7" t="s">
        <v>170</v>
      </c>
      <c r="AF10" t="s">
        <v>172</v>
      </c>
      <c r="AG10" s="18">
        <f t="shared" si="0"/>
        <v>2</v>
      </c>
      <c r="AH10" s="18">
        <f t="shared" si="1"/>
        <v>5</v>
      </c>
      <c r="AI10" s="18">
        <f t="shared" si="2"/>
        <v>3</v>
      </c>
      <c r="AJ10" s="18">
        <f t="shared" si="3"/>
        <v>6</v>
      </c>
      <c r="AK10" s="18">
        <f t="shared" si="4"/>
        <v>5</v>
      </c>
      <c r="AL10" s="18">
        <f t="shared" si="5"/>
        <v>9</v>
      </c>
      <c r="AM10" s="18">
        <f t="shared" si="6"/>
        <v>16</v>
      </c>
      <c r="AN10" s="18">
        <f t="shared" si="7"/>
        <v>5</v>
      </c>
      <c r="AO10" s="14">
        <v>3</v>
      </c>
    </row>
    <row r="11" ht="13" spans="1:41">
      <c r="A11" s="11" t="s">
        <v>175</v>
      </c>
      <c r="B11" t="s">
        <v>125</v>
      </c>
      <c r="C11" t="s">
        <v>124</v>
      </c>
      <c r="D11" t="s">
        <v>172</v>
      </c>
      <c r="E11" t="s">
        <v>125</v>
      </c>
      <c r="F11" t="s">
        <v>124</v>
      </c>
      <c r="G11" t="s">
        <v>173</v>
      </c>
      <c r="H11" s="7" t="s">
        <v>170</v>
      </c>
      <c r="I11" t="s">
        <v>170</v>
      </c>
      <c r="J11" t="s">
        <v>172</v>
      </c>
      <c r="K11" t="s">
        <v>125</v>
      </c>
      <c r="L11" t="s">
        <v>124</v>
      </c>
      <c r="M11" t="s">
        <v>172</v>
      </c>
      <c r="N11" t="s">
        <v>125</v>
      </c>
      <c r="O11" t="s">
        <v>124</v>
      </c>
      <c r="P11" t="s">
        <v>173</v>
      </c>
      <c r="Q11" t="s">
        <v>171</v>
      </c>
      <c r="R11" s="7" t="s">
        <v>170</v>
      </c>
      <c r="S11" t="s">
        <v>170</v>
      </c>
      <c r="T11" t="s">
        <v>124</v>
      </c>
      <c r="U11" t="s">
        <v>171</v>
      </c>
      <c r="V11" s="7" t="s">
        <v>170</v>
      </c>
      <c r="W11" t="s">
        <v>170</v>
      </c>
      <c r="X11" t="s">
        <v>172</v>
      </c>
      <c r="Y11" t="s">
        <v>125</v>
      </c>
      <c r="Z11" t="s">
        <v>124</v>
      </c>
      <c r="AA11" t="s">
        <v>173</v>
      </c>
      <c r="AB11" t="s">
        <v>92</v>
      </c>
      <c r="AC11" t="s">
        <v>92</v>
      </c>
      <c r="AD11" t="s">
        <v>170</v>
      </c>
      <c r="AE11" s="9" t="s">
        <v>172</v>
      </c>
      <c r="AF11" s="9" t="s">
        <v>125</v>
      </c>
      <c r="AG11" s="18">
        <f t="shared" si="0"/>
        <v>3</v>
      </c>
      <c r="AH11" s="18">
        <f t="shared" si="1"/>
        <v>7</v>
      </c>
      <c r="AI11" s="18">
        <f t="shared" si="2"/>
        <v>2</v>
      </c>
      <c r="AJ11" s="18">
        <f t="shared" si="3"/>
        <v>5</v>
      </c>
      <c r="AK11" s="18">
        <f t="shared" si="4"/>
        <v>6</v>
      </c>
      <c r="AL11" s="19">
        <f t="shared" si="5"/>
        <v>8</v>
      </c>
      <c r="AM11" s="18">
        <f t="shared" si="6"/>
        <v>17</v>
      </c>
      <c r="AN11" s="18">
        <f t="shared" si="7"/>
        <v>7</v>
      </c>
      <c r="AO11" s="14">
        <v>3</v>
      </c>
    </row>
    <row r="12" ht="13" spans="1:41">
      <c r="A12" s="6" t="s">
        <v>91</v>
      </c>
      <c r="B12" t="s">
        <v>124</v>
      </c>
      <c r="C12" t="s">
        <v>124</v>
      </c>
      <c r="D12" t="s">
        <v>172</v>
      </c>
      <c r="E12" t="s">
        <v>125</v>
      </c>
      <c r="F12" t="s">
        <v>124</v>
      </c>
      <c r="G12" t="s">
        <v>171</v>
      </c>
      <c r="H12" t="s">
        <v>170</v>
      </c>
      <c r="I12" s="12"/>
      <c r="J12" t="s">
        <v>173</v>
      </c>
      <c r="K12" t="s">
        <v>170</v>
      </c>
      <c r="L12" t="s">
        <v>172</v>
      </c>
      <c r="M12" t="s">
        <v>125</v>
      </c>
      <c r="N12" t="s">
        <v>124</v>
      </c>
      <c r="O12" t="s">
        <v>172</v>
      </c>
      <c r="P12" t="s">
        <v>125</v>
      </c>
      <c r="Q12" t="s">
        <v>124</v>
      </c>
      <c r="R12" t="s">
        <v>171</v>
      </c>
      <c r="S12" s="12"/>
      <c r="T12" t="s">
        <v>170</v>
      </c>
      <c r="U12" t="s">
        <v>170</v>
      </c>
      <c r="V12" t="s">
        <v>172</v>
      </c>
      <c r="W12" t="s">
        <v>125</v>
      </c>
      <c r="X12" t="s">
        <v>124</v>
      </c>
      <c r="Y12" s="12"/>
      <c r="Z12" t="s">
        <v>170</v>
      </c>
      <c r="AA12" t="s">
        <v>173</v>
      </c>
      <c r="AB12" t="s">
        <v>172</v>
      </c>
      <c r="AC12" t="s">
        <v>125</v>
      </c>
      <c r="AD12" t="s">
        <v>124</v>
      </c>
      <c r="AE12" t="s">
        <v>92</v>
      </c>
      <c r="AF12" t="s">
        <v>92</v>
      </c>
      <c r="AG12" s="18">
        <f t="shared" si="0"/>
        <v>2</v>
      </c>
      <c r="AH12" s="18">
        <f t="shared" si="1"/>
        <v>5</v>
      </c>
      <c r="AI12" s="18">
        <f t="shared" si="2"/>
        <v>2</v>
      </c>
      <c r="AJ12" s="18">
        <f t="shared" si="3"/>
        <v>5</v>
      </c>
      <c r="AK12" s="18">
        <f t="shared" si="4"/>
        <v>5</v>
      </c>
      <c r="AL12" s="18">
        <f t="shared" si="5"/>
        <v>9</v>
      </c>
      <c r="AM12" s="18">
        <f t="shared" si="6"/>
        <v>14</v>
      </c>
      <c r="AN12" s="18">
        <f t="shared" si="7"/>
        <v>5</v>
      </c>
      <c r="AO12" s="14">
        <v>0</v>
      </c>
    </row>
    <row r="13" ht="13" spans="1:41">
      <c r="A13" s="11" t="s">
        <v>93</v>
      </c>
      <c r="B13" t="s">
        <v>172</v>
      </c>
      <c r="C13" t="s">
        <v>125</v>
      </c>
      <c r="D13" t="s">
        <v>124</v>
      </c>
      <c r="E13" s="7" t="s">
        <v>170</v>
      </c>
      <c r="F13" t="s">
        <v>170</v>
      </c>
      <c r="G13" t="s">
        <v>124</v>
      </c>
      <c r="H13" t="s">
        <v>172</v>
      </c>
      <c r="I13" t="s">
        <v>125</v>
      </c>
      <c r="J13" t="s">
        <v>124</v>
      </c>
      <c r="K13" t="s">
        <v>170</v>
      </c>
      <c r="L13" t="s">
        <v>173</v>
      </c>
      <c r="M13" t="s">
        <v>171</v>
      </c>
      <c r="N13" s="7" t="s">
        <v>170</v>
      </c>
      <c r="O13" t="s">
        <v>124</v>
      </c>
      <c r="P13" t="s">
        <v>124</v>
      </c>
      <c r="Q13" t="s">
        <v>172</v>
      </c>
      <c r="R13" t="s">
        <v>125</v>
      </c>
      <c r="S13" t="s">
        <v>124</v>
      </c>
      <c r="T13" t="s">
        <v>170</v>
      </c>
      <c r="U13" t="s">
        <v>170</v>
      </c>
      <c r="V13" t="s">
        <v>172</v>
      </c>
      <c r="W13" t="s">
        <v>125</v>
      </c>
      <c r="X13" t="s">
        <v>124</v>
      </c>
      <c r="Y13" t="s">
        <v>173</v>
      </c>
      <c r="Z13" t="s">
        <v>171</v>
      </c>
      <c r="AA13" t="s">
        <v>92</v>
      </c>
      <c r="AB13" t="s">
        <v>92</v>
      </c>
      <c r="AC13" t="s">
        <v>173</v>
      </c>
      <c r="AD13" t="s">
        <v>170</v>
      </c>
      <c r="AE13" t="s">
        <v>172</v>
      </c>
      <c r="AF13" t="s">
        <v>125</v>
      </c>
      <c r="AG13" s="18">
        <f t="shared" si="0"/>
        <v>3</v>
      </c>
      <c r="AH13" s="18">
        <f t="shared" si="1"/>
        <v>7</v>
      </c>
      <c r="AI13" s="18">
        <f t="shared" si="2"/>
        <v>2</v>
      </c>
      <c r="AJ13" s="18">
        <f t="shared" si="3"/>
        <v>5</v>
      </c>
      <c r="AK13" s="18">
        <f t="shared" si="4"/>
        <v>5</v>
      </c>
      <c r="AL13" s="18">
        <f t="shared" si="5"/>
        <v>9</v>
      </c>
      <c r="AM13" s="18">
        <f t="shared" si="6"/>
        <v>17</v>
      </c>
      <c r="AN13" s="18">
        <f t="shared" si="7"/>
        <v>7</v>
      </c>
      <c r="AO13" s="14">
        <v>2</v>
      </c>
    </row>
    <row r="14" ht="13" spans="1:41">
      <c r="A14" s="6" t="s">
        <v>31</v>
      </c>
      <c r="B14" t="s">
        <v>124</v>
      </c>
      <c r="C14" t="s">
        <v>172</v>
      </c>
      <c r="D14" t="s">
        <v>125</v>
      </c>
      <c r="E14" t="s">
        <v>124</v>
      </c>
      <c r="F14" t="s">
        <v>173</v>
      </c>
      <c r="G14" t="s">
        <v>174</v>
      </c>
      <c r="H14" t="s">
        <v>171</v>
      </c>
      <c r="I14" t="s">
        <v>172</v>
      </c>
      <c r="J14" t="s">
        <v>125</v>
      </c>
      <c r="K14" t="s">
        <v>124</v>
      </c>
      <c r="L14" s="7" t="s">
        <v>170</v>
      </c>
      <c r="M14" t="s">
        <v>170</v>
      </c>
      <c r="N14" t="s">
        <v>172</v>
      </c>
      <c r="O14" t="s">
        <v>125</v>
      </c>
      <c r="P14" t="s">
        <v>124</v>
      </c>
      <c r="Q14" t="s">
        <v>171</v>
      </c>
      <c r="R14" s="7" t="s">
        <v>170</v>
      </c>
      <c r="S14" t="s">
        <v>173</v>
      </c>
      <c r="T14" t="s">
        <v>172</v>
      </c>
      <c r="U14" t="s">
        <v>125</v>
      </c>
      <c r="V14" t="s">
        <v>124</v>
      </c>
      <c r="W14" s="7" t="s">
        <v>170</v>
      </c>
      <c r="X14" t="s">
        <v>170</v>
      </c>
      <c r="Y14" t="s">
        <v>170</v>
      </c>
      <c r="Z14" t="s">
        <v>170</v>
      </c>
      <c r="AA14" t="s">
        <v>124</v>
      </c>
      <c r="AB14" t="s">
        <v>172</v>
      </c>
      <c r="AC14" t="s">
        <v>125</v>
      </c>
      <c r="AD14" t="s">
        <v>124</v>
      </c>
      <c r="AE14" t="s">
        <v>171</v>
      </c>
      <c r="AF14" t="s">
        <v>124</v>
      </c>
      <c r="AG14" s="18">
        <f t="shared" si="0"/>
        <v>2</v>
      </c>
      <c r="AH14" s="18">
        <f t="shared" si="1"/>
        <v>7</v>
      </c>
      <c r="AI14" s="18">
        <f t="shared" si="2"/>
        <v>3</v>
      </c>
      <c r="AJ14" s="18">
        <f t="shared" si="3"/>
        <v>5</v>
      </c>
      <c r="AK14" s="18">
        <f t="shared" si="4"/>
        <v>5</v>
      </c>
      <c r="AL14" s="19">
        <f t="shared" si="5"/>
        <v>8</v>
      </c>
      <c r="AM14" s="18">
        <f t="shared" si="6"/>
        <v>17</v>
      </c>
      <c r="AN14" s="18">
        <f t="shared" si="7"/>
        <v>7</v>
      </c>
      <c r="AO14" s="14">
        <v>3</v>
      </c>
    </row>
    <row r="15" ht="13" spans="1:41">
      <c r="A15" s="6" t="s">
        <v>32</v>
      </c>
      <c r="B15" s="7" t="s">
        <v>170</v>
      </c>
      <c r="C15" t="s">
        <v>172</v>
      </c>
      <c r="D15" t="s">
        <v>125</v>
      </c>
      <c r="E15" t="s">
        <v>124</v>
      </c>
      <c r="F15" t="s">
        <v>170</v>
      </c>
      <c r="G15" t="s">
        <v>171</v>
      </c>
      <c r="H15" t="s">
        <v>124</v>
      </c>
      <c r="I15" t="s">
        <v>124</v>
      </c>
      <c r="J15" t="s">
        <v>92</v>
      </c>
      <c r="K15" t="s">
        <v>170</v>
      </c>
      <c r="L15" t="s">
        <v>172</v>
      </c>
      <c r="M15" t="s">
        <v>125</v>
      </c>
      <c r="N15" t="s">
        <v>124</v>
      </c>
      <c r="O15" t="s">
        <v>172</v>
      </c>
      <c r="P15" t="s">
        <v>125</v>
      </c>
      <c r="Q15" t="s">
        <v>124</v>
      </c>
      <c r="R15" t="s">
        <v>173</v>
      </c>
      <c r="S15" t="s">
        <v>173</v>
      </c>
      <c r="T15" t="s">
        <v>92</v>
      </c>
      <c r="U15" t="s">
        <v>171</v>
      </c>
      <c r="V15" t="s">
        <v>172</v>
      </c>
      <c r="W15" t="s">
        <v>125</v>
      </c>
      <c r="X15" t="s">
        <v>124</v>
      </c>
      <c r="Y15" s="7" t="s">
        <v>170</v>
      </c>
      <c r="Z15" t="s">
        <v>172</v>
      </c>
      <c r="AA15" t="s">
        <v>125</v>
      </c>
      <c r="AB15" t="s">
        <v>124</v>
      </c>
      <c r="AC15" s="7" t="s">
        <v>170</v>
      </c>
      <c r="AD15" t="s">
        <v>170</v>
      </c>
      <c r="AE15" s="12"/>
      <c r="AF15" t="s">
        <v>170</v>
      </c>
      <c r="AG15" s="18">
        <f t="shared" si="0"/>
        <v>2</v>
      </c>
      <c r="AH15" s="18">
        <f t="shared" si="1"/>
        <v>7</v>
      </c>
      <c r="AI15" s="18">
        <f t="shared" si="2"/>
        <v>2</v>
      </c>
      <c r="AJ15" s="18">
        <f t="shared" si="3"/>
        <v>5</v>
      </c>
      <c r="AK15" s="18">
        <f t="shared" si="4"/>
        <v>5</v>
      </c>
      <c r="AL15" s="18">
        <f t="shared" si="5"/>
        <v>9</v>
      </c>
      <c r="AM15" s="18">
        <f t="shared" si="6"/>
        <v>16</v>
      </c>
      <c r="AN15" s="18">
        <f t="shared" si="7"/>
        <v>7</v>
      </c>
      <c r="AO15" s="14">
        <v>3</v>
      </c>
    </row>
    <row r="16" ht="13" spans="1:41">
      <c r="A16" s="8" t="s">
        <v>176</v>
      </c>
      <c r="B16" t="s">
        <v>171</v>
      </c>
      <c r="C16" t="s">
        <v>124</v>
      </c>
      <c r="D16" t="s">
        <v>172</v>
      </c>
      <c r="E16" t="s">
        <v>125</v>
      </c>
      <c r="F16" t="s">
        <v>124</v>
      </c>
      <c r="G16" t="s">
        <v>170</v>
      </c>
      <c r="H16" t="s">
        <v>170</v>
      </c>
      <c r="I16" t="s">
        <v>173</v>
      </c>
      <c r="J16" t="s">
        <v>124</v>
      </c>
      <c r="K16" t="s">
        <v>172</v>
      </c>
      <c r="L16" t="s">
        <v>125</v>
      </c>
      <c r="M16" t="s">
        <v>124</v>
      </c>
      <c r="N16" t="s">
        <v>170</v>
      </c>
      <c r="O16" t="s">
        <v>172</v>
      </c>
      <c r="P16" t="s">
        <v>125</v>
      </c>
      <c r="Q16" t="s">
        <v>124</v>
      </c>
      <c r="R16" s="12"/>
      <c r="S16" t="s">
        <v>171</v>
      </c>
      <c r="T16" t="s">
        <v>172</v>
      </c>
      <c r="U16" t="s">
        <v>125</v>
      </c>
      <c r="V16" t="s">
        <v>124</v>
      </c>
      <c r="W16" t="s">
        <v>173</v>
      </c>
      <c r="X16" s="12"/>
      <c r="Y16" t="s">
        <v>170</v>
      </c>
      <c r="Z16" t="s">
        <v>92</v>
      </c>
      <c r="AA16" t="s">
        <v>172</v>
      </c>
      <c r="AB16" t="s">
        <v>125</v>
      </c>
      <c r="AC16" t="s">
        <v>124</v>
      </c>
      <c r="AD16" t="s">
        <v>92</v>
      </c>
      <c r="AE16" s="9" t="s">
        <v>172</v>
      </c>
      <c r="AF16" s="9" t="s">
        <v>125</v>
      </c>
      <c r="AG16" s="18">
        <f t="shared" si="0"/>
        <v>2</v>
      </c>
      <c r="AH16" s="18">
        <f t="shared" si="1"/>
        <v>4</v>
      </c>
      <c r="AI16" s="18">
        <f t="shared" si="2"/>
        <v>2</v>
      </c>
      <c r="AJ16" s="18">
        <f t="shared" si="3"/>
        <v>6</v>
      </c>
      <c r="AK16" s="18">
        <f t="shared" si="4"/>
        <v>6</v>
      </c>
      <c r="AL16" s="18">
        <f t="shared" si="5"/>
        <v>9</v>
      </c>
      <c r="AM16" s="18">
        <f t="shared" si="6"/>
        <v>14</v>
      </c>
      <c r="AN16" s="18">
        <f t="shared" si="7"/>
        <v>4</v>
      </c>
      <c r="AO16" s="14">
        <v>0</v>
      </c>
    </row>
    <row r="17" ht="13" spans="1:41">
      <c r="A17" s="6" t="s">
        <v>33</v>
      </c>
      <c r="B17" t="s">
        <v>124</v>
      </c>
      <c r="C17" t="s">
        <v>172</v>
      </c>
      <c r="D17" t="s">
        <v>125</v>
      </c>
      <c r="E17" t="s">
        <v>124</v>
      </c>
      <c r="F17" t="s">
        <v>173</v>
      </c>
      <c r="G17" t="s">
        <v>124</v>
      </c>
      <c r="H17" t="s">
        <v>172</v>
      </c>
      <c r="I17" t="s">
        <v>125</v>
      </c>
      <c r="J17" t="s">
        <v>124</v>
      </c>
      <c r="K17" s="7" t="s">
        <v>170</v>
      </c>
      <c r="L17" t="s">
        <v>171</v>
      </c>
      <c r="M17" s="7" t="s">
        <v>170</v>
      </c>
      <c r="N17" t="s">
        <v>172</v>
      </c>
      <c r="O17" t="s">
        <v>125</v>
      </c>
      <c r="P17" t="s">
        <v>124</v>
      </c>
      <c r="Q17" t="s">
        <v>170</v>
      </c>
      <c r="R17" t="s">
        <v>170</v>
      </c>
      <c r="S17" t="s">
        <v>170</v>
      </c>
      <c r="T17" t="s">
        <v>173</v>
      </c>
      <c r="U17" t="s">
        <v>124</v>
      </c>
      <c r="V17" t="s">
        <v>173</v>
      </c>
      <c r="W17" t="s">
        <v>124</v>
      </c>
      <c r="X17" t="s">
        <v>172</v>
      </c>
      <c r="Y17" t="s">
        <v>125</v>
      </c>
      <c r="Z17" t="s">
        <v>124</v>
      </c>
      <c r="AA17" t="s">
        <v>172</v>
      </c>
      <c r="AB17" t="s">
        <v>125</v>
      </c>
      <c r="AC17" t="s">
        <v>124</v>
      </c>
      <c r="AD17" t="s">
        <v>171</v>
      </c>
      <c r="AE17" t="s">
        <v>171</v>
      </c>
      <c r="AF17" t="s">
        <v>170</v>
      </c>
      <c r="AG17" s="18">
        <f t="shared" si="0"/>
        <v>3</v>
      </c>
      <c r="AH17" s="18">
        <f t="shared" si="1"/>
        <v>6</v>
      </c>
      <c r="AI17" s="18">
        <f t="shared" si="2"/>
        <v>3</v>
      </c>
      <c r="AJ17" s="18">
        <f t="shared" si="3"/>
        <v>5</v>
      </c>
      <c r="AK17" s="18">
        <f t="shared" si="4"/>
        <v>5</v>
      </c>
      <c r="AL17" s="18">
        <f t="shared" si="5"/>
        <v>9</v>
      </c>
      <c r="AM17" s="18">
        <f t="shared" si="6"/>
        <v>17</v>
      </c>
      <c r="AN17" s="18">
        <f t="shared" si="7"/>
        <v>6</v>
      </c>
      <c r="AO17" s="14">
        <v>2</v>
      </c>
    </row>
    <row r="18" ht="13" spans="1:41">
      <c r="A18" s="6" t="s">
        <v>177</v>
      </c>
      <c r="B18" t="s">
        <v>125</v>
      </c>
      <c r="C18" t="s">
        <v>124</v>
      </c>
      <c r="D18" t="s">
        <v>92</v>
      </c>
      <c r="E18" t="s">
        <v>95</v>
      </c>
      <c r="F18" t="s">
        <v>172</v>
      </c>
      <c r="G18" t="s">
        <v>125</v>
      </c>
      <c r="H18" t="s">
        <v>124</v>
      </c>
      <c r="I18" t="s">
        <v>173</v>
      </c>
      <c r="J18" t="s">
        <v>171</v>
      </c>
      <c r="K18" s="7" t="s">
        <v>170</v>
      </c>
      <c r="L18" s="7" t="s">
        <v>170</v>
      </c>
      <c r="M18" t="s">
        <v>172</v>
      </c>
      <c r="N18" t="s">
        <v>125</v>
      </c>
      <c r="O18" t="s">
        <v>124</v>
      </c>
      <c r="P18" t="s">
        <v>170</v>
      </c>
      <c r="Q18" t="s">
        <v>172</v>
      </c>
      <c r="R18" t="s">
        <v>125</v>
      </c>
      <c r="S18" t="s">
        <v>124</v>
      </c>
      <c r="T18" t="s">
        <v>170</v>
      </c>
      <c r="U18" t="s">
        <v>92</v>
      </c>
      <c r="V18" t="s">
        <v>173</v>
      </c>
      <c r="W18" t="s">
        <v>171</v>
      </c>
      <c r="X18" t="s">
        <v>92</v>
      </c>
      <c r="Y18" t="s">
        <v>170</v>
      </c>
      <c r="Z18" s="7" t="s">
        <v>170</v>
      </c>
      <c r="AA18" s="9" t="s">
        <v>172</v>
      </c>
      <c r="AB18" s="9" t="s">
        <v>125</v>
      </c>
      <c r="AC18" t="s">
        <v>124</v>
      </c>
      <c r="AD18" t="s">
        <v>172</v>
      </c>
      <c r="AE18" t="s">
        <v>125</v>
      </c>
      <c r="AF18" t="s">
        <v>124</v>
      </c>
      <c r="AG18" s="18">
        <f t="shared" si="0"/>
        <v>2</v>
      </c>
      <c r="AH18" s="18">
        <f t="shared" si="1"/>
        <v>6</v>
      </c>
      <c r="AI18" s="18">
        <f t="shared" si="2"/>
        <v>2</v>
      </c>
      <c r="AJ18" s="18">
        <f t="shared" si="3"/>
        <v>5</v>
      </c>
      <c r="AK18" s="18">
        <f t="shared" si="4"/>
        <v>6</v>
      </c>
      <c r="AL18" s="18">
        <f t="shared" si="5"/>
        <v>9</v>
      </c>
      <c r="AM18" s="18">
        <f t="shared" si="6"/>
        <v>15</v>
      </c>
      <c r="AN18" s="18">
        <f t="shared" si="7"/>
        <v>6</v>
      </c>
      <c r="AO18" s="14">
        <v>3</v>
      </c>
    </row>
    <row r="19" ht="13" spans="1:41">
      <c r="A19" s="8" t="s">
        <v>34</v>
      </c>
      <c r="B19" t="s">
        <v>125</v>
      </c>
      <c r="C19" t="s">
        <v>124</v>
      </c>
      <c r="D19" t="s">
        <v>170</v>
      </c>
      <c r="E19" t="s">
        <v>173</v>
      </c>
      <c r="F19" t="s">
        <v>172</v>
      </c>
      <c r="G19" t="s">
        <v>125</v>
      </c>
      <c r="H19" t="s">
        <v>124</v>
      </c>
      <c r="I19" t="s">
        <v>171</v>
      </c>
      <c r="J19" s="7" t="s">
        <v>170</v>
      </c>
      <c r="K19" t="s">
        <v>172</v>
      </c>
      <c r="L19" t="s">
        <v>125</v>
      </c>
      <c r="M19" t="s">
        <v>124</v>
      </c>
      <c r="N19" t="s">
        <v>172</v>
      </c>
      <c r="O19" t="s">
        <v>125</v>
      </c>
      <c r="P19" t="s">
        <v>124</v>
      </c>
      <c r="Q19" s="7" t="s">
        <v>170</v>
      </c>
      <c r="R19" t="s">
        <v>170</v>
      </c>
      <c r="S19" t="s">
        <v>170</v>
      </c>
      <c r="T19" t="s">
        <v>171</v>
      </c>
      <c r="U19" s="7" t="s">
        <v>170</v>
      </c>
      <c r="V19" t="s">
        <v>174</v>
      </c>
      <c r="W19" t="s">
        <v>173</v>
      </c>
      <c r="X19" t="s">
        <v>172</v>
      </c>
      <c r="Y19" t="s">
        <v>125</v>
      </c>
      <c r="Z19" t="s">
        <v>124</v>
      </c>
      <c r="AA19" s="7" t="s">
        <v>170</v>
      </c>
      <c r="AB19" t="s">
        <v>171</v>
      </c>
      <c r="AC19" t="s">
        <v>92</v>
      </c>
      <c r="AD19" t="s">
        <v>92</v>
      </c>
      <c r="AE19" t="s">
        <v>170</v>
      </c>
      <c r="AF19" s="17" t="s">
        <v>172</v>
      </c>
      <c r="AG19" s="18">
        <f t="shared" si="0"/>
        <v>2</v>
      </c>
      <c r="AH19" s="18">
        <f t="shared" si="1"/>
        <v>8</v>
      </c>
      <c r="AI19" s="18">
        <f t="shared" si="2"/>
        <v>3</v>
      </c>
      <c r="AJ19" s="18">
        <f t="shared" si="3"/>
        <v>5</v>
      </c>
      <c r="AK19" s="18">
        <f t="shared" si="4"/>
        <v>5</v>
      </c>
      <c r="AL19" s="19">
        <f t="shared" si="5"/>
        <v>7</v>
      </c>
      <c r="AM19" s="18">
        <f t="shared" si="6"/>
        <v>18</v>
      </c>
      <c r="AN19" s="18">
        <f t="shared" si="7"/>
        <v>8</v>
      </c>
      <c r="AO19" s="14">
        <v>4</v>
      </c>
    </row>
    <row r="20" ht="13" spans="1:41">
      <c r="A20" s="6" t="s">
        <v>35</v>
      </c>
      <c r="B20" t="s">
        <v>171</v>
      </c>
      <c r="C20" t="s">
        <v>170</v>
      </c>
      <c r="D20" s="7" t="s">
        <v>170</v>
      </c>
      <c r="E20" t="s">
        <v>172</v>
      </c>
      <c r="F20" t="s">
        <v>125</v>
      </c>
      <c r="G20" t="s">
        <v>124</v>
      </c>
      <c r="H20" t="s">
        <v>173</v>
      </c>
      <c r="I20" t="s">
        <v>124</v>
      </c>
      <c r="J20" t="s">
        <v>170</v>
      </c>
      <c r="K20" t="s">
        <v>92</v>
      </c>
      <c r="L20" t="s">
        <v>172</v>
      </c>
      <c r="M20" t="s">
        <v>125</v>
      </c>
      <c r="N20" t="s">
        <v>124</v>
      </c>
      <c r="O20" t="s">
        <v>170</v>
      </c>
      <c r="P20" t="s">
        <v>124</v>
      </c>
      <c r="Q20" t="s">
        <v>173</v>
      </c>
      <c r="R20" t="s">
        <v>92</v>
      </c>
      <c r="S20" s="7" t="s">
        <v>170</v>
      </c>
      <c r="T20" s="9" t="s">
        <v>172</v>
      </c>
      <c r="U20" s="9" t="s">
        <v>125</v>
      </c>
      <c r="V20" t="s">
        <v>124</v>
      </c>
      <c r="W20" t="s">
        <v>172</v>
      </c>
      <c r="X20" t="s">
        <v>125</v>
      </c>
      <c r="Y20" t="s">
        <v>124</v>
      </c>
      <c r="Z20" t="s">
        <v>172</v>
      </c>
      <c r="AA20" t="s">
        <v>125</v>
      </c>
      <c r="AB20" t="s">
        <v>124</v>
      </c>
      <c r="AC20" t="s">
        <v>173</v>
      </c>
      <c r="AD20" t="s">
        <v>171</v>
      </c>
      <c r="AE20" s="7" t="s">
        <v>170</v>
      </c>
      <c r="AF20" s="12"/>
      <c r="AG20" s="18">
        <f t="shared" si="0"/>
        <v>3</v>
      </c>
      <c r="AH20" s="18">
        <f t="shared" si="1"/>
        <v>6</v>
      </c>
      <c r="AI20" s="18">
        <f t="shared" si="2"/>
        <v>2</v>
      </c>
      <c r="AJ20" s="18">
        <f t="shared" si="3"/>
        <v>5</v>
      </c>
      <c r="AK20" s="18">
        <f t="shared" si="4"/>
        <v>5</v>
      </c>
      <c r="AL20" s="18">
        <f t="shared" si="5"/>
        <v>9</v>
      </c>
      <c r="AM20" s="18">
        <f t="shared" si="6"/>
        <v>16</v>
      </c>
      <c r="AN20" s="18">
        <f t="shared" si="7"/>
        <v>6</v>
      </c>
      <c r="AO20" s="14">
        <v>3</v>
      </c>
    </row>
    <row r="21" ht="13" spans="1:41">
      <c r="A21" s="8" t="s">
        <v>36</v>
      </c>
      <c r="B21" s="7" t="s">
        <v>170</v>
      </c>
      <c r="C21" t="s">
        <v>171</v>
      </c>
      <c r="D21" t="s">
        <v>170</v>
      </c>
      <c r="E21" t="s">
        <v>124</v>
      </c>
      <c r="F21" t="s">
        <v>172</v>
      </c>
      <c r="G21" t="s">
        <v>125</v>
      </c>
      <c r="H21" t="s">
        <v>124</v>
      </c>
      <c r="I21" t="s">
        <v>173</v>
      </c>
      <c r="J21" t="s">
        <v>124</v>
      </c>
      <c r="K21" t="s">
        <v>170</v>
      </c>
      <c r="L21" t="s">
        <v>172</v>
      </c>
      <c r="M21" t="s">
        <v>125</v>
      </c>
      <c r="N21" t="s">
        <v>124</v>
      </c>
      <c r="O21" s="7" t="s">
        <v>170</v>
      </c>
      <c r="P21" t="s">
        <v>170</v>
      </c>
      <c r="Q21" t="s">
        <v>124</v>
      </c>
      <c r="R21" t="s">
        <v>173</v>
      </c>
      <c r="S21" s="12"/>
      <c r="T21" s="9" t="s">
        <v>172</v>
      </c>
      <c r="U21" s="9" t="s">
        <v>125</v>
      </c>
      <c r="V21" t="s">
        <v>124</v>
      </c>
      <c r="W21" t="s">
        <v>171</v>
      </c>
      <c r="X21" s="7" t="s">
        <v>170</v>
      </c>
      <c r="Y21" t="s">
        <v>92</v>
      </c>
      <c r="Z21" t="s">
        <v>172</v>
      </c>
      <c r="AA21" t="s">
        <v>125</v>
      </c>
      <c r="AB21" t="s">
        <v>124</v>
      </c>
      <c r="AC21" t="s">
        <v>172</v>
      </c>
      <c r="AD21" t="s">
        <v>125</v>
      </c>
      <c r="AE21" t="s">
        <v>124</v>
      </c>
      <c r="AF21" t="s">
        <v>172</v>
      </c>
      <c r="AG21" s="18">
        <f t="shared" si="0"/>
        <v>2</v>
      </c>
      <c r="AH21" s="18">
        <f t="shared" si="1"/>
        <v>6</v>
      </c>
      <c r="AI21" s="18">
        <f t="shared" si="2"/>
        <v>2</v>
      </c>
      <c r="AJ21" s="18">
        <f t="shared" si="3"/>
        <v>6</v>
      </c>
      <c r="AK21" s="18">
        <f t="shared" si="4"/>
        <v>5</v>
      </c>
      <c r="AL21" s="18">
        <f t="shared" si="5"/>
        <v>9</v>
      </c>
      <c r="AM21" s="18">
        <f t="shared" si="6"/>
        <v>16</v>
      </c>
      <c r="AN21" s="18">
        <f t="shared" si="7"/>
        <v>6</v>
      </c>
      <c r="AO21" s="14">
        <v>3</v>
      </c>
    </row>
    <row r="22" ht="13" spans="1:41">
      <c r="A22" s="6" t="s">
        <v>178</v>
      </c>
      <c r="B22" t="s">
        <v>125</v>
      </c>
      <c r="C22" t="s">
        <v>124</v>
      </c>
      <c r="D22" t="s">
        <v>173</v>
      </c>
      <c r="E22" t="s">
        <v>170</v>
      </c>
      <c r="F22" t="s">
        <v>172</v>
      </c>
      <c r="G22" t="s">
        <v>125</v>
      </c>
      <c r="H22" t="s">
        <v>124</v>
      </c>
      <c r="I22" t="s">
        <v>172</v>
      </c>
      <c r="J22" t="s">
        <v>125</v>
      </c>
      <c r="K22" t="s">
        <v>124</v>
      </c>
      <c r="L22" t="s">
        <v>171</v>
      </c>
      <c r="M22" t="s">
        <v>171</v>
      </c>
      <c r="N22" t="s">
        <v>170</v>
      </c>
      <c r="O22" t="s">
        <v>172</v>
      </c>
      <c r="P22" t="s">
        <v>125</v>
      </c>
      <c r="Q22" t="s">
        <v>124</v>
      </c>
      <c r="R22" t="s">
        <v>124</v>
      </c>
      <c r="S22" t="s">
        <v>124</v>
      </c>
      <c r="T22" t="s">
        <v>173</v>
      </c>
      <c r="U22" t="s">
        <v>170</v>
      </c>
      <c r="V22" t="s">
        <v>170</v>
      </c>
      <c r="W22" t="s">
        <v>124</v>
      </c>
      <c r="X22" s="12"/>
      <c r="Y22" t="s">
        <v>172</v>
      </c>
      <c r="Z22" t="s">
        <v>125</v>
      </c>
      <c r="AA22" t="s">
        <v>124</v>
      </c>
      <c r="AB22" s="12"/>
      <c r="AC22" t="s">
        <v>172</v>
      </c>
      <c r="AD22" t="s">
        <v>125</v>
      </c>
      <c r="AE22" t="s">
        <v>124</v>
      </c>
      <c r="AF22" s="12"/>
      <c r="AG22" s="18">
        <f t="shared" si="0"/>
        <v>2</v>
      </c>
      <c r="AH22" s="18">
        <f t="shared" si="1"/>
        <v>4</v>
      </c>
      <c r="AI22" s="18">
        <f t="shared" si="2"/>
        <v>2</v>
      </c>
      <c r="AJ22" s="18">
        <f t="shared" si="3"/>
        <v>5</v>
      </c>
      <c r="AK22" s="18">
        <f t="shared" si="4"/>
        <v>6</v>
      </c>
      <c r="AL22" s="18">
        <f t="shared" si="5"/>
        <v>9</v>
      </c>
      <c r="AM22" s="18">
        <f t="shared" si="6"/>
        <v>13</v>
      </c>
      <c r="AN22" s="18">
        <f t="shared" si="7"/>
        <v>4</v>
      </c>
      <c r="AO22" s="14">
        <v>0</v>
      </c>
    </row>
    <row r="23" ht="13" spans="1:41">
      <c r="A23" s="8" t="s">
        <v>21</v>
      </c>
      <c r="B23" t="s">
        <v>125</v>
      </c>
      <c r="C23" t="s">
        <v>124</v>
      </c>
      <c r="D23" t="s">
        <v>169</v>
      </c>
      <c r="E23" t="s">
        <v>173</v>
      </c>
      <c r="F23" t="s">
        <v>169</v>
      </c>
      <c r="G23" t="s">
        <v>172</v>
      </c>
      <c r="H23" t="s">
        <v>125</v>
      </c>
      <c r="I23" t="s">
        <v>124</v>
      </c>
      <c r="J23" s="7" t="s">
        <v>170</v>
      </c>
      <c r="K23" t="s">
        <v>169</v>
      </c>
      <c r="L23" t="s">
        <v>170</v>
      </c>
      <c r="M23" t="s">
        <v>169</v>
      </c>
      <c r="N23" t="s">
        <v>92</v>
      </c>
      <c r="O23" t="s">
        <v>172</v>
      </c>
      <c r="P23" t="s">
        <v>125</v>
      </c>
      <c r="Q23" t="s">
        <v>124</v>
      </c>
      <c r="R23" t="s">
        <v>169</v>
      </c>
      <c r="S23" t="s">
        <v>172</v>
      </c>
      <c r="T23" t="s">
        <v>125</v>
      </c>
      <c r="U23" t="s">
        <v>124</v>
      </c>
      <c r="V23" t="s">
        <v>172</v>
      </c>
      <c r="W23" t="s">
        <v>125</v>
      </c>
      <c r="X23" t="s">
        <v>124</v>
      </c>
      <c r="Y23" t="s">
        <v>171</v>
      </c>
      <c r="Z23" t="s">
        <v>171</v>
      </c>
      <c r="AA23" t="s">
        <v>172</v>
      </c>
      <c r="AB23" t="s">
        <v>125</v>
      </c>
      <c r="AC23" t="s">
        <v>124</v>
      </c>
      <c r="AD23" t="s">
        <v>173</v>
      </c>
      <c r="AE23" t="s">
        <v>173</v>
      </c>
      <c r="AF23" s="9" t="s">
        <v>172</v>
      </c>
      <c r="AG23" s="18">
        <f t="shared" si="0"/>
        <v>3</v>
      </c>
      <c r="AH23" s="18">
        <f t="shared" si="1"/>
        <v>2</v>
      </c>
      <c r="AI23" s="18">
        <f t="shared" si="2"/>
        <v>2</v>
      </c>
      <c r="AJ23" s="18">
        <f t="shared" si="3"/>
        <v>6</v>
      </c>
      <c r="AK23" s="18">
        <f t="shared" si="4"/>
        <v>6</v>
      </c>
      <c r="AL23" s="19">
        <f t="shared" si="5"/>
        <v>7</v>
      </c>
      <c r="AM23" s="18">
        <f t="shared" si="6"/>
        <v>13</v>
      </c>
      <c r="AN23" s="18">
        <f t="shared" si="7"/>
        <v>2</v>
      </c>
      <c r="AO23" s="14">
        <v>1</v>
      </c>
    </row>
    <row r="24" ht="13" spans="1:41">
      <c r="A24" s="6" t="s">
        <v>179</v>
      </c>
      <c r="B24" t="s">
        <v>124</v>
      </c>
      <c r="C24" t="s">
        <v>172</v>
      </c>
      <c r="D24" t="s">
        <v>125</v>
      </c>
      <c r="E24" t="s">
        <v>124</v>
      </c>
      <c r="F24" s="7" t="s">
        <v>170</v>
      </c>
      <c r="G24" t="s">
        <v>171</v>
      </c>
      <c r="H24" t="s">
        <v>170</v>
      </c>
      <c r="I24" t="s">
        <v>124</v>
      </c>
      <c r="J24" t="s">
        <v>173</v>
      </c>
      <c r="K24" t="s">
        <v>124</v>
      </c>
      <c r="L24" t="s">
        <v>172</v>
      </c>
      <c r="M24" t="s">
        <v>125</v>
      </c>
      <c r="N24" t="s">
        <v>124</v>
      </c>
      <c r="O24" t="s">
        <v>173</v>
      </c>
      <c r="P24" s="7" t="s">
        <v>170</v>
      </c>
      <c r="Q24" t="s">
        <v>170</v>
      </c>
      <c r="R24" t="s">
        <v>170</v>
      </c>
      <c r="S24" t="s">
        <v>172</v>
      </c>
      <c r="T24" t="s">
        <v>125</v>
      </c>
      <c r="U24" t="s">
        <v>124</v>
      </c>
      <c r="V24" t="s">
        <v>172</v>
      </c>
      <c r="W24" t="s">
        <v>125</v>
      </c>
      <c r="X24" t="s">
        <v>124</v>
      </c>
      <c r="Y24" t="s">
        <v>171</v>
      </c>
      <c r="Z24" s="7" t="s">
        <v>170</v>
      </c>
      <c r="AA24" t="s">
        <v>170</v>
      </c>
      <c r="AB24" t="s">
        <v>172</v>
      </c>
      <c r="AC24" t="s">
        <v>125</v>
      </c>
      <c r="AD24" t="s">
        <v>124</v>
      </c>
      <c r="AE24" t="s">
        <v>124</v>
      </c>
      <c r="AF24" t="s">
        <v>173</v>
      </c>
      <c r="AG24" s="18">
        <f t="shared" si="0"/>
        <v>3</v>
      </c>
      <c r="AH24" s="18">
        <f t="shared" si="1"/>
        <v>7</v>
      </c>
      <c r="AI24" s="18">
        <f t="shared" si="2"/>
        <v>2</v>
      </c>
      <c r="AJ24" s="18">
        <f t="shared" si="3"/>
        <v>5</v>
      </c>
      <c r="AK24" s="18">
        <f t="shared" si="4"/>
        <v>5</v>
      </c>
      <c r="AL24" s="18">
        <f t="shared" si="5"/>
        <v>9</v>
      </c>
      <c r="AM24" s="18">
        <f t="shared" si="6"/>
        <v>17</v>
      </c>
      <c r="AN24" s="18">
        <f t="shared" si="7"/>
        <v>7</v>
      </c>
      <c r="AO24" s="14">
        <v>3</v>
      </c>
    </row>
    <row r="25" ht="13" spans="1:41">
      <c r="A25" s="11" t="s">
        <v>37</v>
      </c>
      <c r="B25" t="s">
        <v>172</v>
      </c>
      <c r="C25" t="s">
        <v>125</v>
      </c>
      <c r="D25" t="s">
        <v>124</v>
      </c>
      <c r="E25" t="s">
        <v>173</v>
      </c>
      <c r="F25" t="s">
        <v>171</v>
      </c>
      <c r="G25" t="s">
        <v>170</v>
      </c>
      <c r="H25" t="s">
        <v>170</v>
      </c>
      <c r="I25" t="s">
        <v>124</v>
      </c>
      <c r="J25" t="s">
        <v>124</v>
      </c>
      <c r="K25" s="12"/>
      <c r="L25" s="12"/>
      <c r="M25" t="s">
        <v>172</v>
      </c>
      <c r="N25" t="s">
        <v>125</v>
      </c>
      <c r="O25" t="s">
        <v>124</v>
      </c>
      <c r="P25" t="s">
        <v>170</v>
      </c>
      <c r="Q25" s="12"/>
      <c r="R25" t="s">
        <v>172</v>
      </c>
      <c r="S25" t="s">
        <v>125</v>
      </c>
      <c r="T25" t="s">
        <v>124</v>
      </c>
      <c r="U25" t="s">
        <v>172</v>
      </c>
      <c r="V25" t="s">
        <v>125</v>
      </c>
      <c r="W25" t="s">
        <v>124</v>
      </c>
      <c r="X25" t="s">
        <v>173</v>
      </c>
      <c r="Y25" s="9" t="s">
        <v>173</v>
      </c>
      <c r="Z25" t="s">
        <v>92</v>
      </c>
      <c r="AA25" t="s">
        <v>92</v>
      </c>
      <c r="AB25" t="s">
        <v>172</v>
      </c>
      <c r="AC25" t="s">
        <v>125</v>
      </c>
      <c r="AD25" t="s">
        <v>124</v>
      </c>
      <c r="AE25" t="s">
        <v>173</v>
      </c>
      <c r="AF25" t="s">
        <v>171</v>
      </c>
      <c r="AG25" s="18">
        <f t="shared" si="0"/>
        <v>4</v>
      </c>
      <c r="AH25" s="18">
        <f t="shared" si="1"/>
        <v>3</v>
      </c>
      <c r="AI25" s="18">
        <f t="shared" si="2"/>
        <v>2</v>
      </c>
      <c r="AJ25" s="18">
        <f t="shared" si="3"/>
        <v>5</v>
      </c>
      <c r="AK25" s="18">
        <f t="shared" si="4"/>
        <v>5</v>
      </c>
      <c r="AL25" s="18">
        <f t="shared" si="5"/>
        <v>9</v>
      </c>
      <c r="AM25" s="18">
        <f t="shared" si="6"/>
        <v>14</v>
      </c>
      <c r="AN25" s="18">
        <f t="shared" si="7"/>
        <v>3</v>
      </c>
      <c r="AO25" s="14">
        <v>0</v>
      </c>
    </row>
    <row r="26" ht="13" spans="1:41">
      <c r="A26" s="6" t="s">
        <v>40</v>
      </c>
      <c r="B26" t="s">
        <v>173</v>
      </c>
      <c r="C26" t="s">
        <v>170</v>
      </c>
      <c r="D26" t="s">
        <v>172</v>
      </c>
      <c r="E26" t="s">
        <v>125</v>
      </c>
      <c r="F26" t="s">
        <v>124</v>
      </c>
      <c r="G26" s="7" t="s">
        <v>170</v>
      </c>
      <c r="H26" t="s">
        <v>172</v>
      </c>
      <c r="I26" t="s">
        <v>125</v>
      </c>
      <c r="J26" t="s">
        <v>124</v>
      </c>
      <c r="K26" t="s">
        <v>170</v>
      </c>
      <c r="L26" t="s">
        <v>171</v>
      </c>
      <c r="M26" s="7" t="s">
        <v>170</v>
      </c>
      <c r="N26" t="s">
        <v>124</v>
      </c>
      <c r="O26" t="s">
        <v>173</v>
      </c>
      <c r="P26" t="s">
        <v>172</v>
      </c>
      <c r="Q26" t="s">
        <v>125</v>
      </c>
      <c r="R26" t="s">
        <v>124</v>
      </c>
      <c r="S26" s="7" t="s">
        <v>170</v>
      </c>
      <c r="T26" t="s">
        <v>172</v>
      </c>
      <c r="U26" t="s">
        <v>125</v>
      </c>
      <c r="V26" t="s">
        <v>124</v>
      </c>
      <c r="W26" t="s">
        <v>171</v>
      </c>
      <c r="X26" t="s">
        <v>170</v>
      </c>
      <c r="Y26" t="s">
        <v>92</v>
      </c>
      <c r="Z26" t="s">
        <v>174</v>
      </c>
      <c r="AA26" t="s">
        <v>92</v>
      </c>
      <c r="AB26" t="s">
        <v>170</v>
      </c>
      <c r="AC26" t="s">
        <v>173</v>
      </c>
      <c r="AD26" t="s">
        <v>124</v>
      </c>
      <c r="AE26" s="9" t="s">
        <v>172</v>
      </c>
      <c r="AF26" s="9" t="s">
        <v>125</v>
      </c>
      <c r="AG26" s="18">
        <f t="shared" si="0"/>
        <v>3</v>
      </c>
      <c r="AH26" s="18">
        <f t="shared" si="1"/>
        <v>7</v>
      </c>
      <c r="AI26" s="18">
        <f t="shared" si="2"/>
        <v>2</v>
      </c>
      <c r="AJ26" s="18">
        <f t="shared" si="3"/>
        <v>5</v>
      </c>
      <c r="AK26" s="18">
        <f t="shared" si="4"/>
        <v>5</v>
      </c>
      <c r="AL26" s="19">
        <f t="shared" si="5"/>
        <v>8</v>
      </c>
      <c r="AM26" s="18">
        <f t="shared" si="6"/>
        <v>17</v>
      </c>
      <c r="AN26" s="18">
        <f t="shared" si="7"/>
        <v>7</v>
      </c>
      <c r="AO26" s="14">
        <v>3</v>
      </c>
    </row>
    <row r="27" ht="13" spans="1:41">
      <c r="A27" s="11" t="s">
        <v>69</v>
      </c>
      <c r="B27" t="s">
        <v>170</v>
      </c>
      <c r="C27" t="s">
        <v>171</v>
      </c>
      <c r="D27" t="s">
        <v>170</v>
      </c>
      <c r="E27" t="s">
        <v>92</v>
      </c>
      <c r="F27" t="s">
        <v>173</v>
      </c>
      <c r="G27" t="s">
        <v>173</v>
      </c>
      <c r="H27" t="s">
        <v>92</v>
      </c>
      <c r="I27" t="s">
        <v>171</v>
      </c>
      <c r="J27" t="s">
        <v>170</v>
      </c>
      <c r="K27" t="s">
        <v>173</v>
      </c>
      <c r="L27" t="s">
        <v>173</v>
      </c>
      <c r="M27" t="s">
        <v>92</v>
      </c>
      <c r="N27" t="s">
        <v>170</v>
      </c>
      <c r="O27" s="13" t="s">
        <v>124</v>
      </c>
      <c r="P27" t="s">
        <v>173</v>
      </c>
      <c r="Q27" t="s">
        <v>170</v>
      </c>
      <c r="R27" t="s">
        <v>171</v>
      </c>
      <c r="S27" t="s">
        <v>171</v>
      </c>
      <c r="T27" t="s">
        <v>170</v>
      </c>
      <c r="U27" s="13" t="s">
        <v>124</v>
      </c>
      <c r="V27" t="s">
        <v>92</v>
      </c>
      <c r="W27" t="s">
        <v>170</v>
      </c>
      <c r="X27" t="s">
        <v>171</v>
      </c>
      <c r="Y27" t="s">
        <v>92</v>
      </c>
      <c r="Z27" t="s">
        <v>173</v>
      </c>
      <c r="AA27" t="s">
        <v>171</v>
      </c>
      <c r="AB27" t="s">
        <v>170</v>
      </c>
      <c r="AC27" t="s">
        <v>92</v>
      </c>
      <c r="AD27" t="s">
        <v>171</v>
      </c>
      <c r="AE27" t="s">
        <v>170</v>
      </c>
      <c r="AF27" t="s">
        <v>173</v>
      </c>
      <c r="AG27" s="18">
        <f t="shared" si="0"/>
        <v>7</v>
      </c>
      <c r="AH27" s="18">
        <f t="shared" si="1"/>
        <v>9</v>
      </c>
      <c r="AI27" s="18">
        <f t="shared" si="2"/>
        <v>7</v>
      </c>
      <c r="AJ27" s="18">
        <f t="shared" si="3"/>
        <v>0</v>
      </c>
      <c r="AK27" s="18">
        <f t="shared" si="4"/>
        <v>0</v>
      </c>
      <c r="AL27" s="19">
        <f t="shared" si="5"/>
        <v>8</v>
      </c>
      <c r="AM27" s="18">
        <f t="shared" si="6"/>
        <v>23</v>
      </c>
      <c r="AN27" s="18">
        <f t="shared" si="7"/>
        <v>9</v>
      </c>
      <c r="AO27" s="14">
        <v>0</v>
      </c>
    </row>
    <row r="28" ht="13" spans="1:41">
      <c r="A28" s="6" t="s">
        <v>38</v>
      </c>
      <c r="B28" t="s">
        <v>124</v>
      </c>
      <c r="C28" t="s">
        <v>173</v>
      </c>
      <c r="D28" t="s">
        <v>170</v>
      </c>
      <c r="E28" t="s">
        <v>172</v>
      </c>
      <c r="F28" t="s">
        <v>125</v>
      </c>
      <c r="G28" t="s">
        <v>124</v>
      </c>
      <c r="H28" t="s">
        <v>172</v>
      </c>
      <c r="I28" t="s">
        <v>125</v>
      </c>
      <c r="J28" t="s">
        <v>124</v>
      </c>
      <c r="K28" t="s">
        <v>171</v>
      </c>
      <c r="L28" t="s">
        <v>170</v>
      </c>
      <c r="M28" t="s">
        <v>124</v>
      </c>
      <c r="N28" t="s">
        <v>124</v>
      </c>
      <c r="O28" t="s">
        <v>171</v>
      </c>
      <c r="P28" t="s">
        <v>172</v>
      </c>
      <c r="Q28" t="s">
        <v>125</v>
      </c>
      <c r="R28" t="s">
        <v>124</v>
      </c>
      <c r="S28" t="s">
        <v>124</v>
      </c>
      <c r="T28" t="s">
        <v>173</v>
      </c>
      <c r="U28" t="s">
        <v>170</v>
      </c>
      <c r="V28" t="s">
        <v>173</v>
      </c>
      <c r="W28" t="s">
        <v>170</v>
      </c>
      <c r="X28" t="s">
        <v>172</v>
      </c>
      <c r="Y28" t="s">
        <v>125</v>
      </c>
      <c r="Z28" t="s">
        <v>124</v>
      </c>
      <c r="AA28" t="s">
        <v>171</v>
      </c>
      <c r="AB28" t="s">
        <v>172</v>
      </c>
      <c r="AC28" t="s">
        <v>125</v>
      </c>
      <c r="AD28" t="s">
        <v>124</v>
      </c>
      <c r="AE28" s="9" t="s">
        <v>172</v>
      </c>
      <c r="AF28" s="9" t="s">
        <v>125</v>
      </c>
      <c r="AG28" s="18">
        <f t="shared" si="0"/>
        <v>3</v>
      </c>
      <c r="AH28" s="18">
        <f t="shared" si="1"/>
        <v>4</v>
      </c>
      <c r="AI28" s="18">
        <f t="shared" si="2"/>
        <v>3</v>
      </c>
      <c r="AJ28" s="18">
        <f t="shared" si="3"/>
        <v>6</v>
      </c>
      <c r="AK28" s="18">
        <f t="shared" si="4"/>
        <v>6</v>
      </c>
      <c r="AL28" s="18">
        <f t="shared" si="5"/>
        <v>9</v>
      </c>
      <c r="AM28" s="18">
        <f t="shared" si="6"/>
        <v>16</v>
      </c>
      <c r="AN28" s="18">
        <f t="shared" si="7"/>
        <v>4</v>
      </c>
      <c r="AO28" s="14">
        <v>0</v>
      </c>
    </row>
    <row r="29" ht="13" spans="1:41">
      <c r="A29" s="6" t="s">
        <v>96</v>
      </c>
      <c r="B29" t="s">
        <v>124</v>
      </c>
      <c r="C29" t="s">
        <v>172</v>
      </c>
      <c r="D29" t="s">
        <v>125</v>
      </c>
      <c r="E29" t="s">
        <v>124</v>
      </c>
      <c r="F29" t="s">
        <v>171</v>
      </c>
      <c r="G29" t="s">
        <v>170</v>
      </c>
      <c r="H29" t="s">
        <v>92</v>
      </c>
      <c r="I29" t="s">
        <v>124</v>
      </c>
      <c r="J29" t="s">
        <v>170</v>
      </c>
      <c r="K29" t="s">
        <v>173</v>
      </c>
      <c r="L29" t="s">
        <v>172</v>
      </c>
      <c r="M29" t="s">
        <v>125</v>
      </c>
      <c r="N29" t="s">
        <v>124</v>
      </c>
      <c r="O29" t="s">
        <v>173</v>
      </c>
      <c r="P29" t="s">
        <v>172</v>
      </c>
      <c r="Q29" t="s">
        <v>125</v>
      </c>
      <c r="R29" t="s">
        <v>124</v>
      </c>
      <c r="S29" s="12"/>
      <c r="T29" t="s">
        <v>172</v>
      </c>
      <c r="U29" t="s">
        <v>125</v>
      </c>
      <c r="V29" t="s">
        <v>124</v>
      </c>
      <c r="W29" s="9" t="s">
        <v>172</v>
      </c>
      <c r="X29" s="9" t="s">
        <v>125</v>
      </c>
      <c r="Y29" t="s">
        <v>124</v>
      </c>
      <c r="Z29" t="s">
        <v>171</v>
      </c>
      <c r="AA29" t="s">
        <v>171</v>
      </c>
      <c r="AB29" t="s">
        <v>170</v>
      </c>
      <c r="AC29" t="s">
        <v>170</v>
      </c>
      <c r="AD29" t="s">
        <v>172</v>
      </c>
      <c r="AE29" t="s">
        <v>125</v>
      </c>
      <c r="AF29" t="s">
        <v>124</v>
      </c>
      <c r="AG29" s="18">
        <f t="shared" si="0"/>
        <v>2</v>
      </c>
      <c r="AH29" s="18">
        <f t="shared" si="1"/>
        <v>4</v>
      </c>
      <c r="AI29" s="18">
        <f t="shared" si="2"/>
        <v>3</v>
      </c>
      <c r="AJ29" s="18">
        <f t="shared" si="3"/>
        <v>6</v>
      </c>
      <c r="AK29" s="18">
        <f t="shared" si="4"/>
        <v>6</v>
      </c>
      <c r="AL29" s="18">
        <f t="shared" si="5"/>
        <v>9</v>
      </c>
      <c r="AM29" s="18">
        <f t="shared" si="6"/>
        <v>15</v>
      </c>
      <c r="AN29" s="18">
        <f t="shared" si="7"/>
        <v>4</v>
      </c>
      <c r="AO29" s="14">
        <v>0</v>
      </c>
    </row>
    <row r="30" ht="13" spans="1:41">
      <c r="A30" s="11" t="s">
        <v>23</v>
      </c>
      <c r="B30" t="s">
        <v>124</v>
      </c>
      <c r="C30" s="7" t="s">
        <v>170</v>
      </c>
      <c r="D30" t="s">
        <v>171</v>
      </c>
      <c r="E30" t="s">
        <v>170</v>
      </c>
      <c r="F30" t="s">
        <v>172</v>
      </c>
      <c r="G30" t="s">
        <v>125</v>
      </c>
      <c r="H30" t="s">
        <v>124</v>
      </c>
      <c r="I30" t="s">
        <v>170</v>
      </c>
      <c r="J30" t="s">
        <v>172</v>
      </c>
      <c r="K30" t="s">
        <v>125</v>
      </c>
      <c r="L30" t="s">
        <v>124</v>
      </c>
      <c r="M30" t="s">
        <v>173</v>
      </c>
      <c r="N30" t="s">
        <v>173</v>
      </c>
      <c r="O30" s="7" t="s">
        <v>170</v>
      </c>
      <c r="P30" t="s">
        <v>170</v>
      </c>
      <c r="Q30" t="s">
        <v>172</v>
      </c>
      <c r="R30" t="s">
        <v>125</v>
      </c>
      <c r="S30" t="s">
        <v>124</v>
      </c>
      <c r="T30" t="s">
        <v>171</v>
      </c>
      <c r="U30" t="s">
        <v>172</v>
      </c>
      <c r="V30" t="s">
        <v>125</v>
      </c>
      <c r="W30" t="s">
        <v>124</v>
      </c>
      <c r="X30" s="7" t="s">
        <v>170</v>
      </c>
      <c r="Y30" t="s">
        <v>171</v>
      </c>
      <c r="Z30" t="s">
        <v>172</v>
      </c>
      <c r="AA30" t="s">
        <v>125</v>
      </c>
      <c r="AB30" t="s">
        <v>124</v>
      </c>
      <c r="AC30" s="7" t="s">
        <v>170</v>
      </c>
      <c r="AD30" t="s">
        <v>173</v>
      </c>
      <c r="AE30" t="s">
        <v>170</v>
      </c>
      <c r="AF30" s="7" t="s">
        <v>170</v>
      </c>
      <c r="AG30" s="18">
        <f t="shared" si="0"/>
        <v>3</v>
      </c>
      <c r="AH30" s="18">
        <f t="shared" si="1"/>
        <v>9</v>
      </c>
      <c r="AI30" s="18">
        <f t="shared" si="2"/>
        <v>3</v>
      </c>
      <c r="AJ30" s="18">
        <f t="shared" si="3"/>
        <v>5</v>
      </c>
      <c r="AK30" s="18">
        <f t="shared" si="4"/>
        <v>5</v>
      </c>
      <c r="AL30" s="19">
        <f t="shared" si="5"/>
        <v>6</v>
      </c>
      <c r="AM30" s="18">
        <f t="shared" si="6"/>
        <v>20</v>
      </c>
      <c r="AN30" s="18">
        <f t="shared" si="7"/>
        <v>9</v>
      </c>
      <c r="AO30" s="14">
        <v>5</v>
      </c>
    </row>
    <row r="31" ht="13" spans="1:41">
      <c r="A31" s="6" t="s">
        <v>97</v>
      </c>
      <c r="B31" t="s">
        <v>125</v>
      </c>
      <c r="C31" t="s">
        <v>124</v>
      </c>
      <c r="D31" t="s">
        <v>173</v>
      </c>
      <c r="E31" t="s">
        <v>170</v>
      </c>
      <c r="F31" t="s">
        <v>170</v>
      </c>
      <c r="G31" t="s">
        <v>124</v>
      </c>
      <c r="H31" t="s">
        <v>92</v>
      </c>
      <c r="I31" t="s">
        <v>172</v>
      </c>
      <c r="J31" t="s">
        <v>125</v>
      </c>
      <c r="K31" t="s">
        <v>124</v>
      </c>
      <c r="L31" s="12"/>
      <c r="M31" t="s">
        <v>172</v>
      </c>
      <c r="N31" t="s">
        <v>125</v>
      </c>
      <c r="O31" t="s">
        <v>124</v>
      </c>
      <c r="P31" t="s">
        <v>171</v>
      </c>
      <c r="Q31" t="s">
        <v>171</v>
      </c>
      <c r="R31" t="s">
        <v>172</v>
      </c>
      <c r="S31" t="s">
        <v>125</v>
      </c>
      <c r="T31" t="s">
        <v>124</v>
      </c>
      <c r="U31" t="s">
        <v>173</v>
      </c>
      <c r="V31" t="s">
        <v>92</v>
      </c>
      <c r="W31" t="s">
        <v>172</v>
      </c>
      <c r="X31" t="s">
        <v>125</v>
      </c>
      <c r="Y31" t="s">
        <v>124</v>
      </c>
      <c r="Z31" s="9" t="s">
        <v>173</v>
      </c>
      <c r="AA31" t="s">
        <v>170</v>
      </c>
      <c r="AB31" s="12"/>
      <c r="AC31" t="s">
        <v>172</v>
      </c>
      <c r="AD31" t="s">
        <v>125</v>
      </c>
      <c r="AE31" t="s">
        <v>124</v>
      </c>
      <c r="AF31" t="s">
        <v>173</v>
      </c>
      <c r="AG31" s="18">
        <f t="shared" si="0"/>
        <v>4</v>
      </c>
      <c r="AH31" s="18">
        <f t="shared" si="1"/>
        <v>3</v>
      </c>
      <c r="AI31" s="18">
        <f t="shared" si="2"/>
        <v>2</v>
      </c>
      <c r="AJ31" s="18">
        <f t="shared" si="3"/>
        <v>5</v>
      </c>
      <c r="AK31" s="18">
        <f t="shared" si="4"/>
        <v>6</v>
      </c>
      <c r="AL31" s="18">
        <f t="shared" si="5"/>
        <v>9</v>
      </c>
      <c r="AM31" s="18">
        <f t="shared" si="6"/>
        <v>14</v>
      </c>
      <c r="AN31" s="18">
        <f t="shared" si="7"/>
        <v>3</v>
      </c>
      <c r="AO31" s="14">
        <v>0</v>
      </c>
    </row>
    <row r="32" ht="13" spans="1:41">
      <c r="A32" s="11" t="s">
        <v>42</v>
      </c>
      <c r="B32" t="s">
        <v>124</v>
      </c>
      <c r="C32" t="s">
        <v>172</v>
      </c>
      <c r="D32" t="s">
        <v>125</v>
      </c>
      <c r="E32" t="s">
        <v>124</v>
      </c>
      <c r="F32" t="s">
        <v>92</v>
      </c>
      <c r="G32" t="s">
        <v>173</v>
      </c>
      <c r="H32" t="s">
        <v>172</v>
      </c>
      <c r="I32" t="s">
        <v>125</v>
      </c>
      <c r="J32" t="s">
        <v>124</v>
      </c>
      <c r="K32" t="s">
        <v>171</v>
      </c>
      <c r="L32" t="s">
        <v>170</v>
      </c>
      <c r="M32" t="s">
        <v>170</v>
      </c>
      <c r="N32" t="s">
        <v>172</v>
      </c>
      <c r="O32" t="s">
        <v>125</v>
      </c>
      <c r="P32" t="s">
        <v>124</v>
      </c>
      <c r="Q32" t="s">
        <v>170</v>
      </c>
      <c r="R32" t="s">
        <v>124</v>
      </c>
      <c r="S32" t="s">
        <v>124</v>
      </c>
      <c r="T32" s="12"/>
      <c r="U32" t="s">
        <v>171</v>
      </c>
      <c r="V32" t="s">
        <v>170</v>
      </c>
      <c r="W32" t="s">
        <v>173</v>
      </c>
      <c r="X32" s="12"/>
      <c r="Y32" s="12"/>
      <c r="Z32" t="s">
        <v>92</v>
      </c>
      <c r="AA32" t="s">
        <v>172</v>
      </c>
      <c r="AB32" t="s">
        <v>125</v>
      </c>
      <c r="AC32" t="s">
        <v>124</v>
      </c>
      <c r="AD32" t="s">
        <v>173</v>
      </c>
      <c r="AE32" s="9" t="s">
        <v>172</v>
      </c>
      <c r="AF32" s="9" t="s">
        <v>125</v>
      </c>
      <c r="AG32" s="18">
        <f t="shared" si="0"/>
        <v>3</v>
      </c>
      <c r="AH32" s="18">
        <f t="shared" si="1"/>
        <v>4</v>
      </c>
      <c r="AI32" s="18">
        <f t="shared" si="2"/>
        <v>2</v>
      </c>
      <c r="AJ32" s="18">
        <f t="shared" si="3"/>
        <v>5</v>
      </c>
      <c r="AK32" s="18">
        <f t="shared" si="4"/>
        <v>5</v>
      </c>
      <c r="AL32" s="18">
        <f t="shared" si="5"/>
        <v>9</v>
      </c>
      <c r="AM32" s="18">
        <f t="shared" si="6"/>
        <v>14</v>
      </c>
      <c r="AN32" s="18">
        <f t="shared" si="7"/>
        <v>4</v>
      </c>
      <c r="AO32" s="14">
        <v>0</v>
      </c>
    </row>
    <row r="33" ht="13" spans="1:41">
      <c r="A33" s="6" t="s">
        <v>43</v>
      </c>
      <c r="B33" t="s">
        <v>124</v>
      </c>
      <c r="C33" t="s">
        <v>173</v>
      </c>
      <c r="D33" t="s">
        <v>171</v>
      </c>
      <c r="E33" t="s">
        <v>172</v>
      </c>
      <c r="F33" t="s">
        <v>125</v>
      </c>
      <c r="G33" t="s">
        <v>124</v>
      </c>
      <c r="H33" t="s">
        <v>92</v>
      </c>
      <c r="I33" t="s">
        <v>172</v>
      </c>
      <c r="J33" t="s">
        <v>125</v>
      </c>
      <c r="K33" t="s">
        <v>124</v>
      </c>
      <c r="L33" t="s">
        <v>170</v>
      </c>
      <c r="M33" t="s">
        <v>170</v>
      </c>
      <c r="N33" t="s">
        <v>173</v>
      </c>
      <c r="O33" t="s">
        <v>170</v>
      </c>
      <c r="P33" t="s">
        <v>171</v>
      </c>
      <c r="Q33" t="s">
        <v>172</v>
      </c>
      <c r="R33" t="s">
        <v>125</v>
      </c>
      <c r="S33" t="s">
        <v>124</v>
      </c>
      <c r="T33" t="s">
        <v>172</v>
      </c>
      <c r="U33" t="s">
        <v>125</v>
      </c>
      <c r="V33" t="s">
        <v>124</v>
      </c>
      <c r="W33" s="12"/>
      <c r="X33" t="s">
        <v>170</v>
      </c>
      <c r="Y33" s="12"/>
      <c r="Z33" t="s">
        <v>92</v>
      </c>
      <c r="AA33" s="9" t="s">
        <v>172</v>
      </c>
      <c r="AB33" s="9" t="s">
        <v>125</v>
      </c>
      <c r="AC33" t="s">
        <v>124</v>
      </c>
      <c r="AD33" t="s">
        <v>172</v>
      </c>
      <c r="AE33" t="s">
        <v>125</v>
      </c>
      <c r="AF33" t="s">
        <v>124</v>
      </c>
      <c r="AG33" s="18">
        <f t="shared" si="0"/>
        <v>2</v>
      </c>
      <c r="AH33" s="18">
        <f t="shared" si="1"/>
        <v>4</v>
      </c>
      <c r="AI33" s="18">
        <f t="shared" si="2"/>
        <v>2</v>
      </c>
      <c r="AJ33" s="18">
        <f t="shared" si="3"/>
        <v>6</v>
      </c>
      <c r="AK33" s="18">
        <f t="shared" si="4"/>
        <v>6</v>
      </c>
      <c r="AL33" s="18">
        <f t="shared" si="5"/>
        <v>9</v>
      </c>
      <c r="AM33" s="18">
        <f t="shared" si="6"/>
        <v>14</v>
      </c>
      <c r="AN33" s="18">
        <f t="shared" si="7"/>
        <v>4</v>
      </c>
      <c r="AO33" s="14">
        <v>0</v>
      </c>
    </row>
    <row r="34" ht="13" spans="1:41">
      <c r="A34" s="11" t="s">
        <v>98</v>
      </c>
      <c r="B34" t="s">
        <v>124</v>
      </c>
      <c r="C34" t="s">
        <v>124</v>
      </c>
      <c r="D34" t="s">
        <v>172</v>
      </c>
      <c r="E34" t="s">
        <v>125</v>
      </c>
      <c r="F34" t="s">
        <v>124</v>
      </c>
      <c r="G34" t="s">
        <v>170</v>
      </c>
      <c r="H34" t="s">
        <v>173</v>
      </c>
      <c r="I34" t="s">
        <v>171</v>
      </c>
      <c r="J34" t="s">
        <v>172</v>
      </c>
      <c r="K34" t="s">
        <v>125</v>
      </c>
      <c r="L34" t="s">
        <v>124</v>
      </c>
      <c r="M34" t="s">
        <v>171</v>
      </c>
      <c r="N34" t="s">
        <v>170</v>
      </c>
      <c r="O34" t="s">
        <v>92</v>
      </c>
      <c r="P34" t="s">
        <v>170</v>
      </c>
      <c r="Q34" s="12"/>
      <c r="R34" s="12"/>
      <c r="S34" s="9" t="s">
        <v>172</v>
      </c>
      <c r="T34" s="9" t="s">
        <v>125</v>
      </c>
      <c r="U34" t="s">
        <v>124</v>
      </c>
      <c r="V34" t="s">
        <v>172</v>
      </c>
      <c r="W34" t="s">
        <v>125</v>
      </c>
      <c r="X34" t="s">
        <v>124</v>
      </c>
      <c r="Y34" t="s">
        <v>172</v>
      </c>
      <c r="Z34" t="s">
        <v>125</v>
      </c>
      <c r="AA34" t="s">
        <v>124</v>
      </c>
      <c r="AB34" t="s">
        <v>173</v>
      </c>
      <c r="AC34" t="s">
        <v>172</v>
      </c>
      <c r="AD34" t="s">
        <v>125</v>
      </c>
      <c r="AE34" t="s">
        <v>124</v>
      </c>
      <c r="AF34" t="s">
        <v>170</v>
      </c>
      <c r="AG34" s="18">
        <f t="shared" si="0"/>
        <v>2</v>
      </c>
      <c r="AH34" s="18">
        <f t="shared" si="1"/>
        <v>4</v>
      </c>
      <c r="AI34" s="18">
        <f t="shared" si="2"/>
        <v>2</v>
      </c>
      <c r="AJ34" s="18">
        <f t="shared" si="3"/>
        <v>6</v>
      </c>
      <c r="AK34" s="18">
        <f t="shared" si="4"/>
        <v>6</v>
      </c>
      <c r="AL34" s="18">
        <f t="shared" si="5"/>
        <v>9</v>
      </c>
      <c r="AM34" s="18">
        <f t="shared" si="6"/>
        <v>14</v>
      </c>
      <c r="AN34" s="18">
        <f t="shared" si="7"/>
        <v>4</v>
      </c>
      <c r="AO34" s="14">
        <v>0</v>
      </c>
    </row>
    <row r="35" ht="13" spans="1:41">
      <c r="A35" s="6" t="s">
        <v>45</v>
      </c>
      <c r="B35" t="s">
        <v>173</v>
      </c>
      <c r="C35" t="s">
        <v>170</v>
      </c>
      <c r="D35" t="s">
        <v>92</v>
      </c>
      <c r="E35" t="s">
        <v>92</v>
      </c>
      <c r="F35" t="s">
        <v>172</v>
      </c>
      <c r="G35" t="s">
        <v>125</v>
      </c>
      <c r="H35" t="s">
        <v>124</v>
      </c>
      <c r="I35" t="s">
        <v>170</v>
      </c>
      <c r="J35" t="s">
        <v>171</v>
      </c>
      <c r="K35" t="s">
        <v>124</v>
      </c>
      <c r="L35" t="s">
        <v>124</v>
      </c>
      <c r="M35" t="s">
        <v>172</v>
      </c>
      <c r="N35" t="s">
        <v>125</v>
      </c>
      <c r="O35" t="s">
        <v>124</v>
      </c>
      <c r="P35" t="s">
        <v>124</v>
      </c>
      <c r="Q35" t="s">
        <v>170</v>
      </c>
      <c r="R35" t="s">
        <v>172</v>
      </c>
      <c r="S35" t="s">
        <v>125</v>
      </c>
      <c r="T35" t="s">
        <v>124</v>
      </c>
      <c r="U35" t="s">
        <v>173</v>
      </c>
      <c r="V35" t="s">
        <v>171</v>
      </c>
      <c r="W35" s="12"/>
      <c r="X35" s="12"/>
      <c r="Y35" t="s">
        <v>172</v>
      </c>
      <c r="Z35" t="s">
        <v>125</v>
      </c>
      <c r="AA35" t="s">
        <v>124</v>
      </c>
      <c r="AB35" t="s">
        <v>173</v>
      </c>
      <c r="AC35" t="s">
        <v>171</v>
      </c>
      <c r="AD35" t="s">
        <v>170</v>
      </c>
      <c r="AE35" s="12"/>
      <c r="AF35" t="s">
        <v>172</v>
      </c>
      <c r="AG35" s="18">
        <f t="shared" si="0"/>
        <v>3</v>
      </c>
      <c r="AH35" s="18">
        <f t="shared" si="1"/>
        <v>4</v>
      </c>
      <c r="AI35" s="18">
        <f t="shared" si="2"/>
        <v>3</v>
      </c>
      <c r="AJ35" s="18">
        <f t="shared" si="3"/>
        <v>5</v>
      </c>
      <c r="AK35" s="18">
        <f t="shared" si="4"/>
        <v>4</v>
      </c>
      <c r="AL35" s="18">
        <f t="shared" si="5"/>
        <v>9</v>
      </c>
      <c r="AM35" s="18">
        <f t="shared" si="6"/>
        <v>15</v>
      </c>
      <c r="AN35" s="18">
        <f t="shared" si="7"/>
        <v>4</v>
      </c>
      <c r="AO35" s="14">
        <v>0</v>
      </c>
    </row>
    <row r="36" ht="13" spans="1:41">
      <c r="A36" s="6" t="s">
        <v>99</v>
      </c>
      <c r="B36" t="s">
        <v>172</v>
      </c>
      <c r="C36" t="s">
        <v>125</v>
      </c>
      <c r="D36" t="s">
        <v>124</v>
      </c>
      <c r="E36" t="s">
        <v>171</v>
      </c>
      <c r="F36" t="s">
        <v>170</v>
      </c>
      <c r="G36" t="s">
        <v>124</v>
      </c>
      <c r="H36" t="s">
        <v>172</v>
      </c>
      <c r="I36" t="s">
        <v>125</v>
      </c>
      <c r="J36" t="s">
        <v>124</v>
      </c>
      <c r="K36" t="s">
        <v>173</v>
      </c>
      <c r="L36" t="s">
        <v>170</v>
      </c>
      <c r="M36" t="s">
        <v>170</v>
      </c>
      <c r="N36" t="s">
        <v>172</v>
      </c>
      <c r="O36" t="s">
        <v>125</v>
      </c>
      <c r="P36" t="s">
        <v>124</v>
      </c>
      <c r="Q36" t="s">
        <v>124</v>
      </c>
      <c r="R36" t="s">
        <v>124</v>
      </c>
      <c r="S36" t="s">
        <v>173</v>
      </c>
      <c r="T36" s="12"/>
      <c r="U36" s="9" t="s">
        <v>173</v>
      </c>
      <c r="V36" t="s">
        <v>92</v>
      </c>
      <c r="W36" t="s">
        <v>170</v>
      </c>
      <c r="X36" t="s">
        <v>171</v>
      </c>
      <c r="Y36" t="s">
        <v>92</v>
      </c>
      <c r="Z36" t="s">
        <v>172</v>
      </c>
      <c r="AA36" t="s">
        <v>125</v>
      </c>
      <c r="AB36" t="s">
        <v>124</v>
      </c>
      <c r="AC36" t="s">
        <v>171</v>
      </c>
      <c r="AD36" s="12"/>
      <c r="AE36" s="12"/>
      <c r="AF36" s="12"/>
      <c r="AG36" s="18">
        <f t="shared" si="0"/>
        <v>3</v>
      </c>
      <c r="AH36" s="18">
        <f t="shared" si="1"/>
        <v>4</v>
      </c>
      <c r="AI36" s="18">
        <f t="shared" si="2"/>
        <v>3</v>
      </c>
      <c r="AJ36" s="18">
        <f t="shared" si="3"/>
        <v>4</v>
      </c>
      <c r="AK36" s="18">
        <f t="shared" si="4"/>
        <v>4</v>
      </c>
      <c r="AL36" s="18">
        <f t="shared" si="5"/>
        <v>9</v>
      </c>
      <c r="AM36" s="18">
        <f t="shared" si="6"/>
        <v>14</v>
      </c>
      <c r="AN36" s="18">
        <f t="shared" si="7"/>
        <v>4</v>
      </c>
      <c r="AO36" s="14">
        <v>0</v>
      </c>
    </row>
    <row r="37" customHeight="1" spans="1:41">
      <c r="A37" s="8" t="s">
        <v>48</v>
      </c>
      <c r="B37" t="s">
        <v>124</v>
      </c>
      <c r="C37" t="s">
        <v>124</v>
      </c>
      <c r="D37" t="s">
        <v>124</v>
      </c>
      <c r="E37" t="s">
        <v>170</v>
      </c>
      <c r="F37" t="s">
        <v>173</v>
      </c>
      <c r="G37" t="s">
        <v>172</v>
      </c>
      <c r="H37" t="s">
        <v>125</v>
      </c>
      <c r="I37" t="s">
        <v>124</v>
      </c>
      <c r="J37" t="s">
        <v>172</v>
      </c>
      <c r="K37" t="s">
        <v>125</v>
      </c>
      <c r="L37" t="s">
        <v>124</v>
      </c>
      <c r="M37" t="s">
        <v>173</v>
      </c>
      <c r="N37" t="s">
        <v>171</v>
      </c>
      <c r="O37" t="s">
        <v>170</v>
      </c>
      <c r="P37" t="s">
        <v>92</v>
      </c>
      <c r="Q37" t="s">
        <v>172</v>
      </c>
      <c r="R37" t="s">
        <v>125</v>
      </c>
      <c r="S37" t="s">
        <v>124</v>
      </c>
      <c r="T37" t="s">
        <v>171</v>
      </c>
      <c r="U37" t="s">
        <v>170</v>
      </c>
      <c r="V37" t="s">
        <v>92</v>
      </c>
      <c r="W37" s="12"/>
      <c r="X37" t="s">
        <v>172</v>
      </c>
      <c r="Y37" t="s">
        <v>125</v>
      </c>
      <c r="Z37" t="s">
        <v>124</v>
      </c>
      <c r="AA37" t="s">
        <v>170</v>
      </c>
      <c r="AB37" t="s">
        <v>173</v>
      </c>
      <c r="AC37" t="s">
        <v>170</v>
      </c>
      <c r="AD37" s="12"/>
      <c r="AE37" s="12"/>
      <c r="AF37" t="s">
        <v>172</v>
      </c>
      <c r="AG37" s="18">
        <f t="shared" si="0"/>
        <v>3</v>
      </c>
      <c r="AH37" s="18">
        <f t="shared" si="1"/>
        <v>5</v>
      </c>
      <c r="AI37" s="18">
        <f t="shared" si="2"/>
        <v>2</v>
      </c>
      <c r="AJ37" s="18">
        <f t="shared" si="3"/>
        <v>5</v>
      </c>
      <c r="AK37" s="18">
        <f t="shared" si="4"/>
        <v>4</v>
      </c>
      <c r="AL37" s="18">
        <f t="shared" si="5"/>
        <v>9</v>
      </c>
      <c r="AM37" s="18">
        <f t="shared" si="6"/>
        <v>15</v>
      </c>
      <c r="AN37" s="18">
        <f t="shared" si="7"/>
        <v>5</v>
      </c>
      <c r="AO37" s="14">
        <v>0</v>
      </c>
    </row>
    <row r="38" ht="13" spans="1:41">
      <c r="A38" s="6" t="s">
        <v>46</v>
      </c>
      <c r="B38" t="s">
        <v>170</v>
      </c>
      <c r="C38" t="s">
        <v>124</v>
      </c>
      <c r="D38" t="s">
        <v>124</v>
      </c>
      <c r="E38" t="s">
        <v>171</v>
      </c>
      <c r="F38" t="s">
        <v>124</v>
      </c>
      <c r="G38" t="s">
        <v>172</v>
      </c>
      <c r="H38" t="s">
        <v>125</v>
      </c>
      <c r="I38" t="s">
        <v>124</v>
      </c>
      <c r="J38" t="s">
        <v>124</v>
      </c>
      <c r="K38" t="s">
        <v>172</v>
      </c>
      <c r="L38" t="s">
        <v>125</v>
      </c>
      <c r="M38" t="s">
        <v>124</v>
      </c>
      <c r="N38" t="s">
        <v>172</v>
      </c>
      <c r="O38" t="s">
        <v>125</v>
      </c>
      <c r="P38" t="s">
        <v>124</v>
      </c>
      <c r="Q38" t="s">
        <v>173</v>
      </c>
      <c r="R38" t="s">
        <v>173</v>
      </c>
      <c r="S38" t="s">
        <v>170</v>
      </c>
      <c r="T38" t="s">
        <v>170</v>
      </c>
      <c r="U38" s="12"/>
      <c r="V38" t="s">
        <v>171</v>
      </c>
      <c r="W38" s="12"/>
      <c r="X38" t="s">
        <v>172</v>
      </c>
      <c r="Y38" t="s">
        <v>125</v>
      </c>
      <c r="Z38" t="s">
        <v>124</v>
      </c>
      <c r="AA38" t="s">
        <v>170</v>
      </c>
      <c r="AB38" s="12"/>
      <c r="AC38" t="s">
        <v>172</v>
      </c>
      <c r="AD38" t="s">
        <v>125</v>
      </c>
      <c r="AE38" t="s">
        <v>124</v>
      </c>
      <c r="AF38" s="12"/>
      <c r="AG38" s="18">
        <f t="shared" si="0"/>
        <v>2</v>
      </c>
      <c r="AH38" s="18">
        <f t="shared" si="1"/>
        <v>4</v>
      </c>
      <c r="AI38" s="18">
        <f t="shared" si="2"/>
        <v>2</v>
      </c>
      <c r="AJ38" s="18">
        <f t="shared" si="3"/>
        <v>5</v>
      </c>
      <c r="AK38" s="18">
        <f t="shared" si="4"/>
        <v>5</v>
      </c>
      <c r="AL38" s="18">
        <f t="shared" si="5"/>
        <v>9</v>
      </c>
      <c r="AM38" s="18">
        <f t="shared" si="6"/>
        <v>13</v>
      </c>
      <c r="AN38" s="18">
        <f t="shared" si="7"/>
        <v>4</v>
      </c>
      <c r="AO38" s="14">
        <v>0</v>
      </c>
    </row>
    <row r="39" ht="13" spans="1:41">
      <c r="A39" s="1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8">
        <f t="shared" si="0"/>
        <v>0</v>
      </c>
      <c r="AH39" s="18">
        <f t="shared" si="1"/>
        <v>0</v>
      </c>
      <c r="AI39" s="18">
        <f t="shared" si="2"/>
        <v>0</v>
      </c>
      <c r="AJ39" s="18">
        <f t="shared" si="3"/>
        <v>0</v>
      </c>
      <c r="AK39" s="18">
        <f t="shared" si="4"/>
        <v>0</v>
      </c>
      <c r="AL39" s="19">
        <f t="shared" si="5"/>
        <v>0</v>
      </c>
      <c r="AM39" s="18">
        <f t="shared" si="6"/>
        <v>0</v>
      </c>
      <c r="AN39" s="18">
        <f t="shared" si="7"/>
        <v>0</v>
      </c>
      <c r="AO39" s="14">
        <v>0</v>
      </c>
    </row>
    <row r="40" ht="13" spans="1:41">
      <c r="A40" s="8" t="s">
        <v>66</v>
      </c>
      <c r="B40" t="s">
        <v>170</v>
      </c>
      <c r="C40" t="s">
        <v>124</v>
      </c>
      <c r="D40" t="s">
        <v>173</v>
      </c>
      <c r="E40" t="s">
        <v>172</v>
      </c>
      <c r="F40" t="s">
        <v>125</v>
      </c>
      <c r="G40" t="s">
        <v>124</v>
      </c>
      <c r="H40" t="s">
        <v>172</v>
      </c>
      <c r="I40" t="s">
        <v>125</v>
      </c>
      <c r="J40" t="s">
        <v>124</v>
      </c>
      <c r="K40" t="s">
        <v>171</v>
      </c>
      <c r="L40" t="s">
        <v>124</v>
      </c>
      <c r="M40" t="s">
        <v>173</v>
      </c>
      <c r="N40" t="s">
        <v>170</v>
      </c>
      <c r="O40" t="s">
        <v>171</v>
      </c>
      <c r="P40" t="s">
        <v>124</v>
      </c>
      <c r="Q40" t="s">
        <v>124</v>
      </c>
      <c r="R40" t="s">
        <v>170</v>
      </c>
      <c r="S40" t="s">
        <v>172</v>
      </c>
      <c r="T40" t="s">
        <v>125</v>
      </c>
      <c r="U40" t="s">
        <v>124</v>
      </c>
      <c r="V40" t="s">
        <v>170</v>
      </c>
      <c r="W40" t="s">
        <v>124</v>
      </c>
      <c r="X40" s="12"/>
      <c r="Y40" t="s">
        <v>172</v>
      </c>
      <c r="Z40" t="s">
        <v>125</v>
      </c>
      <c r="AA40" t="s">
        <v>124</v>
      </c>
      <c r="AB40" t="s">
        <v>171</v>
      </c>
      <c r="AC40" t="s">
        <v>170</v>
      </c>
      <c r="AD40" s="12"/>
      <c r="AE40" t="s">
        <v>173</v>
      </c>
      <c r="AF40" t="s">
        <v>172</v>
      </c>
      <c r="AG40" s="18">
        <f t="shared" si="0"/>
        <v>3</v>
      </c>
      <c r="AH40" s="18">
        <f t="shared" si="1"/>
        <v>5</v>
      </c>
      <c r="AI40" s="18">
        <f t="shared" si="2"/>
        <v>3</v>
      </c>
      <c r="AJ40" s="18">
        <f t="shared" si="3"/>
        <v>5</v>
      </c>
      <c r="AK40" s="18">
        <f t="shared" si="4"/>
        <v>4</v>
      </c>
      <c r="AL40" s="18">
        <f t="shared" si="5"/>
        <v>9</v>
      </c>
      <c r="AM40" s="18">
        <f t="shared" si="6"/>
        <v>16</v>
      </c>
      <c r="AN40" s="18">
        <f t="shared" si="7"/>
        <v>5</v>
      </c>
      <c r="AO40" s="14">
        <v>0</v>
      </c>
    </row>
    <row r="41" ht="13" spans="1:41">
      <c r="A41" s="6" t="s">
        <v>100</v>
      </c>
      <c r="B41" t="s">
        <v>124</v>
      </c>
      <c r="C41" t="s">
        <v>124</v>
      </c>
      <c r="D41" t="s">
        <v>124</v>
      </c>
      <c r="E41" t="s">
        <v>124</v>
      </c>
      <c r="F41" t="s">
        <v>124</v>
      </c>
      <c r="G41" t="s">
        <v>124</v>
      </c>
      <c r="H41" t="s">
        <v>124</v>
      </c>
      <c r="I41" t="s">
        <v>124</v>
      </c>
      <c r="J41" t="s">
        <v>124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8">
        <f t="shared" si="0"/>
        <v>0</v>
      </c>
      <c r="AH41" s="18">
        <f t="shared" si="1"/>
        <v>0</v>
      </c>
      <c r="AI41" s="18">
        <f t="shared" si="2"/>
        <v>0</v>
      </c>
      <c r="AJ41" s="18">
        <f t="shared" si="3"/>
        <v>0</v>
      </c>
      <c r="AK41" s="18">
        <f t="shared" si="4"/>
        <v>0</v>
      </c>
      <c r="AL41" s="18">
        <f t="shared" si="5"/>
        <v>9</v>
      </c>
      <c r="AM41" s="18">
        <f t="shared" si="6"/>
        <v>0</v>
      </c>
      <c r="AN41" s="18">
        <f t="shared" si="7"/>
        <v>0</v>
      </c>
      <c r="AO41" s="14">
        <v>0</v>
      </c>
    </row>
    <row r="42" ht="13" spans="1:41">
      <c r="A42" s="8" t="s">
        <v>67</v>
      </c>
      <c r="B42" s="13" t="s">
        <v>172</v>
      </c>
      <c r="C42" s="13" t="s">
        <v>125</v>
      </c>
      <c r="D42" s="13" t="s">
        <v>124</v>
      </c>
      <c r="E42" s="13" t="s">
        <v>172</v>
      </c>
      <c r="F42" s="13" t="s">
        <v>125</v>
      </c>
      <c r="G42" s="13" t="s">
        <v>124</v>
      </c>
      <c r="H42" s="13" t="s">
        <v>124</v>
      </c>
      <c r="I42" s="13" t="s">
        <v>172</v>
      </c>
      <c r="J42" s="13" t="s">
        <v>125</v>
      </c>
      <c r="K42" s="13" t="s">
        <v>124</v>
      </c>
      <c r="L42" s="13" t="s">
        <v>172</v>
      </c>
      <c r="M42" s="13" t="s">
        <v>125</v>
      </c>
      <c r="N42" s="13" t="s">
        <v>124</v>
      </c>
      <c r="O42" s="13" t="s">
        <v>124</v>
      </c>
      <c r="P42" s="13" t="s">
        <v>172</v>
      </c>
      <c r="Q42" s="13" t="s">
        <v>125</v>
      </c>
      <c r="R42" s="13" t="s">
        <v>124</v>
      </c>
      <c r="S42" s="13" t="s">
        <v>172</v>
      </c>
      <c r="T42" s="13" t="s">
        <v>125</v>
      </c>
      <c r="U42" s="13" t="s">
        <v>124</v>
      </c>
      <c r="V42" s="13" t="s">
        <v>124</v>
      </c>
      <c r="W42" s="13" t="s">
        <v>172</v>
      </c>
      <c r="X42" s="13" t="s">
        <v>125</v>
      </c>
      <c r="Y42" s="13" t="s">
        <v>124</v>
      </c>
      <c r="Z42" s="13" t="s">
        <v>172</v>
      </c>
      <c r="AA42" s="13" t="s">
        <v>125</v>
      </c>
      <c r="AB42" s="13" t="s">
        <v>124</v>
      </c>
      <c r="AC42" s="13" t="s">
        <v>124</v>
      </c>
      <c r="AD42" s="13" t="s">
        <v>172</v>
      </c>
      <c r="AE42" s="13" t="s">
        <v>125</v>
      </c>
      <c r="AF42" s="13" t="s">
        <v>124</v>
      </c>
      <c r="AG42" s="18">
        <f t="shared" si="0"/>
        <v>0</v>
      </c>
      <c r="AH42" s="18">
        <f t="shared" si="1"/>
        <v>0</v>
      </c>
      <c r="AI42" s="18">
        <f t="shared" si="2"/>
        <v>0</v>
      </c>
      <c r="AJ42" s="18">
        <f t="shared" si="3"/>
        <v>9</v>
      </c>
      <c r="AK42" s="18">
        <f t="shared" si="4"/>
        <v>9</v>
      </c>
      <c r="AL42" s="18">
        <f t="shared" si="5"/>
        <v>13</v>
      </c>
      <c r="AM42" s="18">
        <f t="shared" si="6"/>
        <v>9</v>
      </c>
      <c r="AN42" s="18">
        <f t="shared" si="7"/>
        <v>0</v>
      </c>
      <c r="AO42" s="14">
        <v>0</v>
      </c>
    </row>
    <row r="43" ht="13" spans="1:41">
      <c r="A43" s="6" t="s">
        <v>70</v>
      </c>
      <c r="B43" t="s">
        <v>173</v>
      </c>
      <c r="C43" t="s">
        <v>173</v>
      </c>
      <c r="D43" t="s">
        <v>173</v>
      </c>
      <c r="E43" t="s">
        <v>92</v>
      </c>
      <c r="F43" t="s">
        <v>92</v>
      </c>
      <c r="G43" t="s">
        <v>173</v>
      </c>
      <c r="H43" s="13" t="s">
        <v>124</v>
      </c>
      <c r="I43" t="s">
        <v>173</v>
      </c>
      <c r="J43" t="s">
        <v>173</v>
      </c>
      <c r="K43" t="s">
        <v>173</v>
      </c>
      <c r="L43" t="s">
        <v>173</v>
      </c>
      <c r="M43" s="13" t="s">
        <v>124</v>
      </c>
      <c r="N43" s="13" t="s">
        <v>124</v>
      </c>
      <c r="O43" s="13" t="s">
        <v>124</v>
      </c>
      <c r="P43" t="s">
        <v>173</v>
      </c>
      <c r="Q43" t="s">
        <v>173</v>
      </c>
      <c r="R43" t="s">
        <v>173</v>
      </c>
      <c r="S43" t="s">
        <v>173</v>
      </c>
      <c r="T43" s="13" t="s">
        <v>124</v>
      </c>
      <c r="U43" s="13" t="s">
        <v>124</v>
      </c>
      <c r="V43" s="13" t="s">
        <v>124</v>
      </c>
      <c r="W43" t="s">
        <v>173</v>
      </c>
      <c r="X43" t="s">
        <v>173</v>
      </c>
      <c r="Y43" t="s">
        <v>173</v>
      </c>
      <c r="Z43" t="s">
        <v>173</v>
      </c>
      <c r="AA43" s="13" t="s">
        <v>124</v>
      </c>
      <c r="AB43" s="13" t="s">
        <v>124</v>
      </c>
      <c r="AC43" s="13" t="s">
        <v>124</v>
      </c>
      <c r="AD43" t="s">
        <v>173</v>
      </c>
      <c r="AE43" t="s">
        <v>173</v>
      </c>
      <c r="AF43" t="s">
        <v>173</v>
      </c>
      <c r="AG43" s="18">
        <f t="shared" si="0"/>
        <v>19</v>
      </c>
      <c r="AH43" s="18">
        <f t="shared" si="1"/>
        <v>0</v>
      </c>
      <c r="AI43" s="18">
        <f t="shared" si="2"/>
        <v>0</v>
      </c>
      <c r="AJ43" s="18">
        <f t="shared" si="3"/>
        <v>0</v>
      </c>
      <c r="AK43" s="18">
        <f t="shared" si="4"/>
        <v>0</v>
      </c>
      <c r="AL43" s="18">
        <f t="shared" si="5"/>
        <v>12</v>
      </c>
      <c r="AM43" s="18">
        <f t="shared" si="6"/>
        <v>19</v>
      </c>
      <c r="AN43" s="18">
        <f t="shared" si="7"/>
        <v>0</v>
      </c>
      <c r="AO43" s="14">
        <v>0</v>
      </c>
    </row>
    <row r="44" ht="13" spans="1:41">
      <c r="A44" s="8" t="s">
        <v>180</v>
      </c>
      <c r="B44" s="13" t="s">
        <v>172</v>
      </c>
      <c r="C44" s="13" t="s">
        <v>125</v>
      </c>
      <c r="D44" s="13" t="s">
        <v>124</v>
      </c>
      <c r="E44" s="13" t="s">
        <v>124</v>
      </c>
      <c r="F44" s="13" t="s">
        <v>124</v>
      </c>
      <c r="G44" s="13" t="s">
        <v>124</v>
      </c>
      <c r="H44" s="13" t="s">
        <v>124</v>
      </c>
      <c r="I44" s="13" t="s">
        <v>172</v>
      </c>
      <c r="J44" s="13" t="s">
        <v>125</v>
      </c>
      <c r="K44" s="13" t="s">
        <v>124</v>
      </c>
      <c r="L44" s="13" t="s">
        <v>124</v>
      </c>
      <c r="M44" s="13" t="s">
        <v>124</v>
      </c>
      <c r="N44" s="13" t="s">
        <v>124</v>
      </c>
      <c r="O44" s="13" t="s">
        <v>124</v>
      </c>
      <c r="P44" s="13" t="s">
        <v>172</v>
      </c>
      <c r="Q44" s="13" t="s">
        <v>125</v>
      </c>
      <c r="R44" s="13" t="s">
        <v>124</v>
      </c>
      <c r="S44" s="13" t="s">
        <v>124</v>
      </c>
      <c r="T44" s="13" t="s">
        <v>124</v>
      </c>
      <c r="U44" s="13" t="s">
        <v>124</v>
      </c>
      <c r="V44" s="13" t="s">
        <v>124</v>
      </c>
      <c r="W44" s="13" t="s">
        <v>172</v>
      </c>
      <c r="X44" s="13" t="s">
        <v>125</v>
      </c>
      <c r="Y44" s="13" t="s">
        <v>124</v>
      </c>
      <c r="Z44" s="13" t="s">
        <v>124</v>
      </c>
      <c r="AA44" s="13" t="s">
        <v>124</v>
      </c>
      <c r="AB44" s="13" t="s">
        <v>124</v>
      </c>
      <c r="AC44" s="13" t="s">
        <v>124</v>
      </c>
      <c r="AD44" s="13" t="s">
        <v>172</v>
      </c>
      <c r="AE44" s="13" t="s">
        <v>125</v>
      </c>
      <c r="AF44" s="13" t="s">
        <v>124</v>
      </c>
      <c r="AG44" s="18">
        <f t="shared" si="0"/>
        <v>0</v>
      </c>
      <c r="AH44" s="18">
        <f t="shared" si="1"/>
        <v>0</v>
      </c>
      <c r="AI44" s="18">
        <f t="shared" si="2"/>
        <v>0</v>
      </c>
      <c r="AJ44" s="18">
        <f t="shared" si="3"/>
        <v>5</v>
      </c>
      <c r="AK44" s="18">
        <f t="shared" si="4"/>
        <v>5</v>
      </c>
      <c r="AL44" s="18">
        <f t="shared" si="5"/>
        <v>21</v>
      </c>
      <c r="AM44" s="18">
        <f t="shared" si="6"/>
        <v>5</v>
      </c>
      <c r="AN44" s="18">
        <f t="shared" si="7"/>
        <v>0</v>
      </c>
      <c r="AO44" s="14">
        <v>0</v>
      </c>
    </row>
    <row r="45" ht="13" spans="1:41">
      <c r="A45" s="6" t="s">
        <v>71</v>
      </c>
      <c r="B45" s="13" t="s">
        <v>172</v>
      </c>
      <c r="C45" s="13" t="s">
        <v>125</v>
      </c>
      <c r="D45" s="13" t="s">
        <v>124</v>
      </c>
      <c r="E45" s="13" t="s">
        <v>124</v>
      </c>
      <c r="F45" s="13" t="s">
        <v>124</v>
      </c>
      <c r="G45" s="13" t="s">
        <v>124</v>
      </c>
      <c r="H45" s="13" t="s">
        <v>124</v>
      </c>
      <c r="I45" s="13" t="s">
        <v>172</v>
      </c>
      <c r="J45" s="13" t="s">
        <v>125</v>
      </c>
      <c r="K45" s="13" t="s">
        <v>124</v>
      </c>
      <c r="L45" s="13" t="s">
        <v>124</v>
      </c>
      <c r="M45" s="13" t="s">
        <v>124</v>
      </c>
      <c r="N45" s="13" t="s">
        <v>124</v>
      </c>
      <c r="O45" s="13" t="s">
        <v>124</v>
      </c>
      <c r="P45" s="13" t="s">
        <v>172</v>
      </c>
      <c r="Q45" s="13" t="s">
        <v>125</v>
      </c>
      <c r="R45" s="13" t="s">
        <v>124</v>
      </c>
      <c r="S45" s="13" t="s">
        <v>124</v>
      </c>
      <c r="T45" s="13" t="s">
        <v>124</v>
      </c>
      <c r="U45" s="13" t="s">
        <v>124</v>
      </c>
      <c r="V45" s="13" t="s">
        <v>124</v>
      </c>
      <c r="W45" s="13" t="s">
        <v>172</v>
      </c>
      <c r="X45" s="13" t="s">
        <v>125</v>
      </c>
      <c r="Y45" s="13" t="s">
        <v>124</v>
      </c>
      <c r="Z45" s="13" t="s">
        <v>124</v>
      </c>
      <c r="AA45" s="13" t="s">
        <v>124</v>
      </c>
      <c r="AB45" s="13" t="s">
        <v>124</v>
      </c>
      <c r="AC45" s="13" t="s">
        <v>124</v>
      </c>
      <c r="AD45" s="13" t="s">
        <v>172</v>
      </c>
      <c r="AE45" s="13" t="s">
        <v>125</v>
      </c>
      <c r="AF45" s="13" t="s">
        <v>124</v>
      </c>
      <c r="AG45" s="18">
        <f t="shared" si="0"/>
        <v>0</v>
      </c>
      <c r="AH45" s="18">
        <f t="shared" si="1"/>
        <v>0</v>
      </c>
      <c r="AI45" s="18">
        <f t="shared" si="2"/>
        <v>0</v>
      </c>
      <c r="AJ45" s="18">
        <f t="shared" si="3"/>
        <v>5</v>
      </c>
      <c r="AK45" s="18">
        <f t="shared" si="4"/>
        <v>5</v>
      </c>
      <c r="AL45" s="18">
        <f t="shared" si="5"/>
        <v>21</v>
      </c>
      <c r="AM45" s="18">
        <f t="shared" si="6"/>
        <v>5</v>
      </c>
      <c r="AN45" s="18">
        <f t="shared" si="7"/>
        <v>0</v>
      </c>
      <c r="AO45" s="14">
        <v>0</v>
      </c>
    </row>
    <row r="46" ht="13" spans="1:41">
      <c r="A46" s="8" t="s">
        <v>101</v>
      </c>
      <c r="B46" t="s">
        <v>125</v>
      </c>
      <c r="C46" t="s">
        <v>124</v>
      </c>
      <c r="D46" s="13" t="s">
        <v>172</v>
      </c>
      <c r="E46" s="13" t="s">
        <v>125</v>
      </c>
      <c r="F46" s="13" t="s">
        <v>124</v>
      </c>
      <c r="G46" s="13" t="s">
        <v>172</v>
      </c>
      <c r="H46" s="13" t="s">
        <v>125</v>
      </c>
      <c r="I46" s="13" t="s">
        <v>124</v>
      </c>
      <c r="J46" s="13" t="s">
        <v>172</v>
      </c>
      <c r="K46" s="13" t="s">
        <v>125</v>
      </c>
      <c r="L46" s="13" t="s">
        <v>124</v>
      </c>
      <c r="M46" s="13" t="s">
        <v>172</v>
      </c>
      <c r="N46" s="13" t="s">
        <v>125</v>
      </c>
      <c r="O46" s="13" t="s">
        <v>124</v>
      </c>
      <c r="P46" s="13" t="s">
        <v>172</v>
      </c>
      <c r="Q46" s="13" t="s">
        <v>125</v>
      </c>
      <c r="R46" s="13" t="s">
        <v>124</v>
      </c>
      <c r="S46" s="13" t="s">
        <v>172</v>
      </c>
      <c r="T46" s="13" t="s">
        <v>125</v>
      </c>
      <c r="U46" s="13" t="s">
        <v>124</v>
      </c>
      <c r="V46" s="13" t="s">
        <v>124</v>
      </c>
      <c r="W46" s="13" t="s">
        <v>172</v>
      </c>
      <c r="X46" s="13" t="s">
        <v>125</v>
      </c>
      <c r="Y46" s="13" t="s">
        <v>124</v>
      </c>
      <c r="Z46" s="13" t="s">
        <v>172</v>
      </c>
      <c r="AA46" s="13" t="s">
        <v>125</v>
      </c>
      <c r="AB46" s="13" t="s">
        <v>124</v>
      </c>
      <c r="AC46" s="13" t="s">
        <v>124</v>
      </c>
      <c r="AD46" s="13" t="s">
        <v>172</v>
      </c>
      <c r="AE46" s="13" t="s">
        <v>125</v>
      </c>
      <c r="AF46" s="13" t="s">
        <v>124</v>
      </c>
      <c r="AG46" s="18">
        <f t="shared" si="0"/>
        <v>0</v>
      </c>
      <c r="AH46" s="18">
        <f t="shared" si="1"/>
        <v>0</v>
      </c>
      <c r="AI46" s="18">
        <f t="shared" si="2"/>
        <v>0</v>
      </c>
      <c r="AJ46" s="18">
        <f t="shared" si="3"/>
        <v>9</v>
      </c>
      <c r="AK46" s="18">
        <f t="shared" si="4"/>
        <v>10</v>
      </c>
      <c r="AL46" s="18">
        <f t="shared" si="5"/>
        <v>12</v>
      </c>
      <c r="AM46" s="18">
        <f t="shared" si="6"/>
        <v>9</v>
      </c>
      <c r="AN46" s="18">
        <f t="shared" si="7"/>
        <v>0</v>
      </c>
      <c r="AO46" s="14">
        <v>0</v>
      </c>
    </row>
    <row r="47" ht="13" spans="1:41">
      <c r="A47" s="8" t="s">
        <v>50</v>
      </c>
      <c r="B47" t="s">
        <v>124</v>
      </c>
      <c r="C47" t="s">
        <v>170</v>
      </c>
      <c r="D47" t="s">
        <v>124</v>
      </c>
      <c r="E47" t="s">
        <v>171</v>
      </c>
      <c r="F47" t="s">
        <v>170</v>
      </c>
      <c r="G47" t="s">
        <v>124</v>
      </c>
      <c r="H47" t="s">
        <v>173</v>
      </c>
      <c r="I47" t="s">
        <v>124</v>
      </c>
      <c r="J47" t="s">
        <v>124</v>
      </c>
      <c r="K47" t="s">
        <v>124</v>
      </c>
      <c r="L47" t="s">
        <v>124</v>
      </c>
      <c r="M47" t="s">
        <v>124</v>
      </c>
      <c r="N47" t="s">
        <v>124</v>
      </c>
      <c r="O47" t="s">
        <v>173</v>
      </c>
      <c r="P47" s="12"/>
      <c r="Q47" s="12"/>
      <c r="R47" t="s">
        <v>170</v>
      </c>
      <c r="S47" t="s">
        <v>171</v>
      </c>
      <c r="T47" s="12"/>
      <c r="U47" s="12"/>
      <c r="V47" t="s">
        <v>170</v>
      </c>
      <c r="W47" s="12"/>
      <c r="X47" s="12"/>
      <c r="Y47" s="12"/>
      <c r="Z47" t="s">
        <v>170</v>
      </c>
      <c r="AA47" t="s">
        <v>170</v>
      </c>
      <c r="AB47" t="s">
        <v>173</v>
      </c>
      <c r="AC47" t="s">
        <v>170</v>
      </c>
      <c r="AD47" s="12"/>
      <c r="AE47" s="12"/>
      <c r="AF47" s="12"/>
      <c r="AG47" s="18">
        <f t="shared" si="0"/>
        <v>3</v>
      </c>
      <c r="AH47" s="18">
        <f t="shared" si="1"/>
        <v>7</v>
      </c>
      <c r="AI47" s="18">
        <f t="shared" si="2"/>
        <v>2</v>
      </c>
      <c r="AJ47" s="18">
        <f t="shared" si="3"/>
        <v>0</v>
      </c>
      <c r="AK47" s="18">
        <f t="shared" si="4"/>
        <v>0</v>
      </c>
      <c r="AL47" s="18">
        <f t="shared" si="5"/>
        <v>9</v>
      </c>
      <c r="AM47" s="18">
        <f t="shared" si="6"/>
        <v>12</v>
      </c>
      <c r="AN47" s="18">
        <f t="shared" si="7"/>
        <v>7</v>
      </c>
      <c r="AO47" s="14">
        <v>0</v>
      </c>
    </row>
    <row r="48" ht="13" spans="1:41">
      <c r="A48" s="8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8">
        <f t="shared" si="0"/>
        <v>0</v>
      </c>
      <c r="AH48" s="18">
        <f t="shared" si="1"/>
        <v>0</v>
      </c>
      <c r="AI48" s="18">
        <f t="shared" si="2"/>
        <v>0</v>
      </c>
      <c r="AJ48" s="18">
        <f t="shared" si="3"/>
        <v>0</v>
      </c>
      <c r="AK48" s="18">
        <f t="shared" si="4"/>
        <v>0</v>
      </c>
      <c r="AL48" s="19">
        <f t="shared" si="5"/>
        <v>0</v>
      </c>
      <c r="AM48" s="18">
        <f t="shared" si="6"/>
        <v>0</v>
      </c>
      <c r="AN48" s="18">
        <f t="shared" si="7"/>
        <v>0</v>
      </c>
      <c r="AO48" s="14">
        <v>0</v>
      </c>
    </row>
    <row r="49" ht="13" spans="1:41">
      <c r="A49" s="1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8">
        <f t="shared" si="0"/>
        <v>0</v>
      </c>
      <c r="AH49" s="18">
        <f t="shared" si="1"/>
        <v>0</v>
      </c>
      <c r="AI49" s="18">
        <f t="shared" si="2"/>
        <v>0</v>
      </c>
      <c r="AJ49" s="18">
        <f t="shared" si="3"/>
        <v>0</v>
      </c>
      <c r="AK49" s="18">
        <f t="shared" si="4"/>
        <v>0</v>
      </c>
      <c r="AL49" s="19">
        <f t="shared" si="5"/>
        <v>0</v>
      </c>
      <c r="AM49" s="18">
        <f t="shared" si="6"/>
        <v>0</v>
      </c>
      <c r="AN49" s="18">
        <f t="shared" si="7"/>
        <v>0</v>
      </c>
      <c r="AO49" s="14">
        <v>0</v>
      </c>
    </row>
    <row r="50" ht="13" spans="1:41">
      <c r="A50" s="1" t="s">
        <v>77</v>
      </c>
      <c r="B50" s="14">
        <f t="shared" ref="B50:AF50" si="8">COUNTIF(B$2:B$49,"早")</f>
        <v>4</v>
      </c>
      <c r="C50" s="14">
        <f t="shared" si="8"/>
        <v>4</v>
      </c>
      <c r="D50" s="14">
        <f t="shared" si="8"/>
        <v>4</v>
      </c>
      <c r="E50" s="14">
        <f t="shared" si="8"/>
        <v>4</v>
      </c>
      <c r="F50" s="14">
        <f t="shared" si="8"/>
        <v>4</v>
      </c>
      <c r="G50" s="14">
        <f t="shared" si="8"/>
        <v>4</v>
      </c>
      <c r="H50" s="14">
        <f t="shared" si="8"/>
        <v>4</v>
      </c>
      <c r="I50" s="14">
        <f t="shared" si="8"/>
        <v>4</v>
      </c>
      <c r="J50" s="14">
        <f t="shared" si="8"/>
        <v>4</v>
      </c>
      <c r="K50" s="14">
        <f t="shared" si="8"/>
        <v>4</v>
      </c>
      <c r="L50" s="14">
        <f t="shared" si="8"/>
        <v>4</v>
      </c>
      <c r="M50" s="14">
        <f t="shared" si="8"/>
        <v>4</v>
      </c>
      <c r="N50" s="14">
        <f t="shared" si="8"/>
        <v>4</v>
      </c>
      <c r="O50" s="14">
        <f t="shared" si="8"/>
        <v>4</v>
      </c>
      <c r="P50" s="14">
        <f t="shared" si="8"/>
        <v>4</v>
      </c>
      <c r="Q50" s="14">
        <f t="shared" si="8"/>
        <v>4</v>
      </c>
      <c r="R50" s="14">
        <f t="shared" si="8"/>
        <v>4</v>
      </c>
      <c r="S50" s="14">
        <f t="shared" si="8"/>
        <v>4</v>
      </c>
      <c r="T50" s="14">
        <f t="shared" si="8"/>
        <v>4</v>
      </c>
      <c r="U50" s="14">
        <f t="shared" si="8"/>
        <v>4</v>
      </c>
      <c r="V50" s="14">
        <f t="shared" si="8"/>
        <v>4</v>
      </c>
      <c r="W50" s="14">
        <f t="shared" si="8"/>
        <v>4</v>
      </c>
      <c r="X50" s="14">
        <f t="shared" si="8"/>
        <v>4</v>
      </c>
      <c r="Y50" s="14">
        <f t="shared" si="8"/>
        <v>4</v>
      </c>
      <c r="Z50" s="14">
        <f t="shared" si="8"/>
        <v>4</v>
      </c>
      <c r="AA50" s="14">
        <f t="shared" si="8"/>
        <v>4</v>
      </c>
      <c r="AB50" s="14">
        <f t="shared" si="8"/>
        <v>4</v>
      </c>
      <c r="AC50" s="14">
        <f t="shared" si="8"/>
        <v>4</v>
      </c>
      <c r="AD50" s="14">
        <f t="shared" si="8"/>
        <v>4</v>
      </c>
      <c r="AE50" s="14">
        <f t="shared" si="8"/>
        <v>4</v>
      </c>
      <c r="AF50" s="14">
        <f t="shared" si="8"/>
        <v>4</v>
      </c>
      <c r="AG50" s="18">
        <f t="shared" si="0"/>
        <v>0</v>
      </c>
      <c r="AH50" s="18">
        <f t="shared" si="1"/>
        <v>0</v>
      </c>
      <c r="AI50" s="18">
        <f t="shared" si="2"/>
        <v>0</v>
      </c>
      <c r="AJ50" s="18">
        <f t="shared" si="3"/>
        <v>0</v>
      </c>
      <c r="AK50" s="18">
        <f t="shared" si="4"/>
        <v>0</v>
      </c>
      <c r="AL50" s="19">
        <f t="shared" si="5"/>
        <v>0</v>
      </c>
      <c r="AM50" s="18">
        <f t="shared" si="6"/>
        <v>0</v>
      </c>
      <c r="AN50" s="18">
        <f t="shared" si="7"/>
        <v>0</v>
      </c>
      <c r="AO50" s="14">
        <v>0</v>
      </c>
    </row>
    <row r="51" ht="13" spans="1:41">
      <c r="A51" s="1" t="s">
        <v>78</v>
      </c>
      <c r="B51" s="15">
        <f t="shared" ref="B51:AF51" si="9">COUNTIF(B$2:B$49,"日")</f>
        <v>7</v>
      </c>
      <c r="C51" s="15">
        <f t="shared" si="9"/>
        <v>7</v>
      </c>
      <c r="D51" s="15">
        <f t="shared" si="9"/>
        <v>7</v>
      </c>
      <c r="E51" s="15">
        <f t="shared" si="9"/>
        <v>7</v>
      </c>
      <c r="F51" s="15">
        <f t="shared" si="9"/>
        <v>7</v>
      </c>
      <c r="G51" s="15">
        <f t="shared" si="9"/>
        <v>7</v>
      </c>
      <c r="H51" s="15">
        <f t="shared" si="9"/>
        <v>7</v>
      </c>
      <c r="I51" s="15">
        <f t="shared" si="9"/>
        <v>7</v>
      </c>
      <c r="J51" s="15">
        <f t="shared" si="9"/>
        <v>7</v>
      </c>
      <c r="K51" s="15">
        <f t="shared" si="9"/>
        <v>7</v>
      </c>
      <c r="L51" s="15">
        <f t="shared" si="9"/>
        <v>7</v>
      </c>
      <c r="M51" s="15">
        <f t="shared" si="9"/>
        <v>7</v>
      </c>
      <c r="N51" s="15">
        <f t="shared" si="9"/>
        <v>7</v>
      </c>
      <c r="O51" s="15">
        <f t="shared" si="9"/>
        <v>7</v>
      </c>
      <c r="P51" s="15">
        <f t="shared" si="9"/>
        <v>7</v>
      </c>
      <c r="Q51" s="15">
        <f t="shared" si="9"/>
        <v>7</v>
      </c>
      <c r="R51" s="15">
        <f t="shared" si="9"/>
        <v>7</v>
      </c>
      <c r="S51" s="15">
        <f t="shared" si="9"/>
        <v>7</v>
      </c>
      <c r="T51" s="15">
        <f t="shared" si="9"/>
        <v>7</v>
      </c>
      <c r="U51" s="15">
        <f t="shared" si="9"/>
        <v>7</v>
      </c>
      <c r="V51" s="15">
        <f t="shared" si="9"/>
        <v>5</v>
      </c>
      <c r="W51" s="15">
        <f t="shared" si="9"/>
        <v>7</v>
      </c>
      <c r="X51" s="15">
        <f t="shared" si="9"/>
        <v>7</v>
      </c>
      <c r="Y51" s="15">
        <f t="shared" si="9"/>
        <v>7</v>
      </c>
      <c r="Z51" s="15">
        <f t="shared" si="9"/>
        <v>7</v>
      </c>
      <c r="AA51" s="15">
        <f t="shared" si="9"/>
        <v>7</v>
      </c>
      <c r="AB51" s="15">
        <f t="shared" si="9"/>
        <v>7</v>
      </c>
      <c r="AC51" s="15">
        <f t="shared" si="9"/>
        <v>7</v>
      </c>
      <c r="AD51" s="15">
        <f t="shared" si="9"/>
        <v>7</v>
      </c>
      <c r="AE51" s="15">
        <f t="shared" si="9"/>
        <v>7</v>
      </c>
      <c r="AF51" s="15">
        <f t="shared" si="9"/>
        <v>7</v>
      </c>
      <c r="AG51" s="18">
        <f t="shared" si="0"/>
        <v>0</v>
      </c>
      <c r="AH51" s="18">
        <f t="shared" si="1"/>
        <v>0</v>
      </c>
      <c r="AI51" s="18">
        <f t="shared" si="2"/>
        <v>0</v>
      </c>
      <c r="AJ51" s="18">
        <f t="shared" si="3"/>
        <v>0</v>
      </c>
      <c r="AK51" s="18">
        <f t="shared" si="4"/>
        <v>0</v>
      </c>
      <c r="AL51" s="19">
        <f t="shared" si="5"/>
        <v>0</v>
      </c>
      <c r="AM51" s="18">
        <f t="shared" si="6"/>
        <v>0</v>
      </c>
      <c r="AN51" s="18">
        <f t="shared" si="7"/>
        <v>0</v>
      </c>
      <c r="AO51" s="14">
        <v>0</v>
      </c>
    </row>
    <row r="52" ht="13" spans="1:41">
      <c r="A52" s="1" t="s">
        <v>79</v>
      </c>
      <c r="B52" s="15">
        <f t="shared" ref="B52:AF52" si="10">COUNTIF(B$2:B$49,"遅")</f>
        <v>3</v>
      </c>
      <c r="C52" s="15">
        <f t="shared" si="10"/>
        <v>3</v>
      </c>
      <c r="D52" s="15">
        <f t="shared" si="10"/>
        <v>3</v>
      </c>
      <c r="E52" s="15">
        <f t="shared" si="10"/>
        <v>3</v>
      </c>
      <c r="F52" s="15">
        <f t="shared" si="10"/>
        <v>3</v>
      </c>
      <c r="G52" s="15">
        <f t="shared" si="10"/>
        <v>3</v>
      </c>
      <c r="H52" s="15">
        <f t="shared" si="10"/>
        <v>3</v>
      </c>
      <c r="I52" s="15">
        <f t="shared" si="10"/>
        <v>3</v>
      </c>
      <c r="J52" s="15">
        <f t="shared" si="10"/>
        <v>3</v>
      </c>
      <c r="K52" s="15">
        <f t="shared" si="10"/>
        <v>3</v>
      </c>
      <c r="L52" s="15">
        <f t="shared" si="10"/>
        <v>3</v>
      </c>
      <c r="M52" s="15">
        <f t="shared" si="10"/>
        <v>3</v>
      </c>
      <c r="N52" s="15">
        <f t="shared" si="10"/>
        <v>3</v>
      </c>
      <c r="O52" s="15">
        <f t="shared" si="10"/>
        <v>3</v>
      </c>
      <c r="P52" s="15">
        <f t="shared" si="10"/>
        <v>3</v>
      </c>
      <c r="Q52" s="15">
        <f t="shared" si="10"/>
        <v>3</v>
      </c>
      <c r="R52" s="15">
        <f t="shared" si="10"/>
        <v>3</v>
      </c>
      <c r="S52" s="15">
        <f t="shared" si="10"/>
        <v>3</v>
      </c>
      <c r="T52" s="15">
        <f t="shared" si="10"/>
        <v>3</v>
      </c>
      <c r="U52" s="15">
        <f t="shared" si="10"/>
        <v>3</v>
      </c>
      <c r="V52" s="15">
        <f t="shared" si="10"/>
        <v>3</v>
      </c>
      <c r="W52" s="15">
        <f t="shared" si="10"/>
        <v>3</v>
      </c>
      <c r="X52" s="15">
        <f t="shared" si="10"/>
        <v>3</v>
      </c>
      <c r="Y52" s="15">
        <f t="shared" si="10"/>
        <v>3</v>
      </c>
      <c r="Z52" s="15">
        <f t="shared" si="10"/>
        <v>3</v>
      </c>
      <c r="AA52" s="15">
        <f t="shared" si="10"/>
        <v>3</v>
      </c>
      <c r="AB52" s="15">
        <f t="shared" si="10"/>
        <v>3</v>
      </c>
      <c r="AC52" s="15">
        <f t="shared" si="10"/>
        <v>3</v>
      </c>
      <c r="AD52" s="15">
        <f t="shared" si="10"/>
        <v>3</v>
      </c>
      <c r="AE52" s="15">
        <f t="shared" si="10"/>
        <v>3</v>
      </c>
      <c r="AF52" s="15">
        <f t="shared" si="10"/>
        <v>3</v>
      </c>
      <c r="AG52" s="18">
        <f t="shared" si="0"/>
        <v>0</v>
      </c>
      <c r="AH52" s="18">
        <f t="shared" si="1"/>
        <v>0</v>
      </c>
      <c r="AI52" s="18">
        <f t="shared" si="2"/>
        <v>0</v>
      </c>
      <c r="AJ52" s="18">
        <f t="shared" si="3"/>
        <v>0</v>
      </c>
      <c r="AK52" s="18">
        <f t="shared" si="4"/>
        <v>0</v>
      </c>
      <c r="AL52" s="19">
        <f t="shared" si="5"/>
        <v>0</v>
      </c>
      <c r="AM52" s="18">
        <f t="shared" si="6"/>
        <v>0</v>
      </c>
      <c r="AN52" s="18">
        <f t="shared" si="7"/>
        <v>0</v>
      </c>
      <c r="AO52" s="14">
        <v>0</v>
      </c>
    </row>
    <row r="53" ht="13" spans="1:41">
      <c r="A53" s="1" t="s">
        <v>80</v>
      </c>
      <c r="B53" s="15">
        <f t="shared" ref="B53:AF53" si="11">COUNTIF(B$2:B$49,"夜")</f>
        <v>7</v>
      </c>
      <c r="C53" s="15">
        <f t="shared" si="11"/>
        <v>7</v>
      </c>
      <c r="D53" s="15">
        <f t="shared" si="11"/>
        <v>7</v>
      </c>
      <c r="E53" s="15">
        <f t="shared" si="11"/>
        <v>7</v>
      </c>
      <c r="F53" s="15">
        <f t="shared" si="11"/>
        <v>7</v>
      </c>
      <c r="G53" s="15">
        <f t="shared" si="11"/>
        <v>7</v>
      </c>
      <c r="H53" s="15">
        <f t="shared" si="11"/>
        <v>7</v>
      </c>
      <c r="I53" s="15">
        <f t="shared" si="11"/>
        <v>7</v>
      </c>
      <c r="J53" s="15">
        <f t="shared" si="11"/>
        <v>7</v>
      </c>
      <c r="K53" s="15">
        <f t="shared" si="11"/>
        <v>7</v>
      </c>
      <c r="L53" s="15">
        <f t="shared" si="11"/>
        <v>7</v>
      </c>
      <c r="M53" s="15">
        <f t="shared" si="11"/>
        <v>7</v>
      </c>
      <c r="N53" s="15">
        <f t="shared" si="11"/>
        <v>7</v>
      </c>
      <c r="O53" s="15">
        <f t="shared" si="11"/>
        <v>7</v>
      </c>
      <c r="P53" s="15">
        <f t="shared" si="11"/>
        <v>7</v>
      </c>
      <c r="Q53" s="15">
        <f t="shared" si="11"/>
        <v>7</v>
      </c>
      <c r="R53" s="15">
        <f t="shared" si="11"/>
        <v>7</v>
      </c>
      <c r="S53" s="15">
        <f t="shared" si="11"/>
        <v>7</v>
      </c>
      <c r="T53" s="15">
        <f t="shared" si="11"/>
        <v>7</v>
      </c>
      <c r="U53" s="15">
        <f t="shared" si="11"/>
        <v>7</v>
      </c>
      <c r="V53" s="15">
        <f t="shared" si="11"/>
        <v>7</v>
      </c>
      <c r="W53" s="15">
        <f t="shared" si="11"/>
        <v>7</v>
      </c>
      <c r="X53" s="15">
        <f t="shared" si="11"/>
        <v>7</v>
      </c>
      <c r="Y53" s="15">
        <f t="shared" si="11"/>
        <v>7</v>
      </c>
      <c r="Z53" s="15">
        <f t="shared" si="11"/>
        <v>7</v>
      </c>
      <c r="AA53" s="15">
        <f t="shared" si="11"/>
        <v>7</v>
      </c>
      <c r="AB53" s="15">
        <f t="shared" si="11"/>
        <v>7</v>
      </c>
      <c r="AC53" s="15">
        <f t="shared" si="11"/>
        <v>7</v>
      </c>
      <c r="AD53" s="15">
        <f t="shared" si="11"/>
        <v>7</v>
      </c>
      <c r="AE53" s="15">
        <f t="shared" si="11"/>
        <v>7</v>
      </c>
      <c r="AF53" s="15">
        <f t="shared" si="11"/>
        <v>7</v>
      </c>
      <c r="AG53" s="18">
        <f t="shared" si="0"/>
        <v>0</v>
      </c>
      <c r="AH53" s="18">
        <f t="shared" si="1"/>
        <v>0</v>
      </c>
      <c r="AI53" s="18">
        <f t="shared" si="2"/>
        <v>0</v>
      </c>
      <c r="AJ53" s="18">
        <f t="shared" si="3"/>
        <v>0</v>
      </c>
      <c r="AK53" s="18">
        <f t="shared" si="4"/>
        <v>0</v>
      </c>
      <c r="AL53" s="19">
        <f t="shared" si="5"/>
        <v>0</v>
      </c>
      <c r="AM53" s="18">
        <f t="shared" si="6"/>
        <v>0</v>
      </c>
      <c r="AN53" s="18">
        <f t="shared" si="7"/>
        <v>0</v>
      </c>
      <c r="AO53" s="14">
        <v>0</v>
      </c>
    </row>
    <row r="54" ht="13" spans="1:41">
      <c r="A54" s="1" t="s">
        <v>81</v>
      </c>
      <c r="B54" s="15">
        <f t="shared" ref="B54:AF54" si="12">COUNTIF(B$2:B$49,"明")</f>
        <v>7</v>
      </c>
      <c r="C54" s="15">
        <f t="shared" si="12"/>
        <v>7</v>
      </c>
      <c r="D54" s="15">
        <f t="shared" si="12"/>
        <v>7</v>
      </c>
      <c r="E54" s="15">
        <f t="shared" si="12"/>
        <v>7</v>
      </c>
      <c r="F54" s="15">
        <f t="shared" si="12"/>
        <v>7</v>
      </c>
      <c r="G54" s="15">
        <f t="shared" si="12"/>
        <v>7</v>
      </c>
      <c r="H54" s="15">
        <f t="shared" si="12"/>
        <v>7</v>
      </c>
      <c r="I54" s="15">
        <f t="shared" si="12"/>
        <v>7</v>
      </c>
      <c r="J54" s="15">
        <f t="shared" si="12"/>
        <v>7</v>
      </c>
      <c r="K54" s="15">
        <f t="shared" si="12"/>
        <v>7</v>
      </c>
      <c r="L54" s="15">
        <f t="shared" si="12"/>
        <v>7</v>
      </c>
      <c r="M54" s="15">
        <f t="shared" si="12"/>
        <v>7</v>
      </c>
      <c r="N54" s="15">
        <f t="shared" si="12"/>
        <v>7</v>
      </c>
      <c r="O54" s="15">
        <f t="shared" si="12"/>
        <v>7</v>
      </c>
      <c r="P54" s="15">
        <f t="shared" si="12"/>
        <v>7</v>
      </c>
      <c r="Q54" s="15">
        <f t="shared" si="12"/>
        <v>7</v>
      </c>
      <c r="R54" s="15">
        <f t="shared" si="12"/>
        <v>7</v>
      </c>
      <c r="S54" s="15">
        <f t="shared" si="12"/>
        <v>7</v>
      </c>
      <c r="T54" s="15">
        <f t="shared" si="12"/>
        <v>7</v>
      </c>
      <c r="U54" s="15">
        <f t="shared" si="12"/>
        <v>7</v>
      </c>
      <c r="V54" s="15">
        <f t="shared" si="12"/>
        <v>7</v>
      </c>
      <c r="W54" s="15">
        <f t="shared" si="12"/>
        <v>7</v>
      </c>
      <c r="X54" s="15">
        <f t="shared" si="12"/>
        <v>7</v>
      </c>
      <c r="Y54" s="15">
        <f t="shared" si="12"/>
        <v>7</v>
      </c>
      <c r="Z54" s="15">
        <f t="shared" si="12"/>
        <v>7</v>
      </c>
      <c r="AA54" s="15">
        <f t="shared" si="12"/>
        <v>7</v>
      </c>
      <c r="AB54" s="15">
        <f t="shared" si="12"/>
        <v>7</v>
      </c>
      <c r="AC54" s="15">
        <f t="shared" si="12"/>
        <v>7</v>
      </c>
      <c r="AD54" s="15">
        <f t="shared" si="12"/>
        <v>7</v>
      </c>
      <c r="AE54" s="15">
        <f t="shared" si="12"/>
        <v>7</v>
      </c>
      <c r="AF54" s="15">
        <f t="shared" si="12"/>
        <v>7</v>
      </c>
      <c r="AG54" s="18">
        <f t="shared" si="0"/>
        <v>0</v>
      </c>
      <c r="AH54" s="18">
        <f t="shared" si="1"/>
        <v>0</v>
      </c>
      <c r="AI54" s="18">
        <f t="shared" si="2"/>
        <v>0</v>
      </c>
      <c r="AJ54" s="18">
        <f t="shared" si="3"/>
        <v>0</v>
      </c>
      <c r="AK54" s="18">
        <f t="shared" si="4"/>
        <v>0</v>
      </c>
      <c r="AL54" s="19">
        <f t="shared" si="5"/>
        <v>0</v>
      </c>
      <c r="AM54" s="18">
        <f t="shared" si="6"/>
        <v>0</v>
      </c>
      <c r="AN54" s="18">
        <f t="shared" si="7"/>
        <v>0</v>
      </c>
      <c r="AO54" s="14">
        <v>0</v>
      </c>
    </row>
    <row r="55" ht="13" spans="1:41">
      <c r="A55" s="1" t="s">
        <v>82</v>
      </c>
      <c r="B55" s="15">
        <f t="shared" ref="B55:AF55" si="13">COUNTIF(B$2:B$49,"*休*")</f>
        <v>17</v>
      </c>
      <c r="C55" s="15">
        <f t="shared" si="13"/>
        <v>17</v>
      </c>
      <c r="D55" s="15">
        <f t="shared" si="13"/>
        <v>15</v>
      </c>
      <c r="E55" s="15">
        <f t="shared" si="13"/>
        <v>16</v>
      </c>
      <c r="F55" s="15">
        <f t="shared" si="13"/>
        <v>15</v>
      </c>
      <c r="G55" s="15">
        <f t="shared" si="13"/>
        <v>16</v>
      </c>
      <c r="H55" s="15">
        <f t="shared" si="13"/>
        <v>17</v>
      </c>
      <c r="I55" s="15">
        <f t="shared" si="13"/>
        <v>16</v>
      </c>
      <c r="J55" s="15">
        <f t="shared" si="13"/>
        <v>17</v>
      </c>
      <c r="K55" s="15">
        <f t="shared" si="13"/>
        <v>13</v>
      </c>
      <c r="L55" s="15">
        <f t="shared" si="13"/>
        <v>14</v>
      </c>
      <c r="M55" s="15">
        <f t="shared" si="13"/>
        <v>14</v>
      </c>
      <c r="N55" s="15">
        <f t="shared" si="13"/>
        <v>16</v>
      </c>
      <c r="O55" s="15">
        <f t="shared" si="13"/>
        <v>15</v>
      </c>
      <c r="P55" s="15">
        <f t="shared" si="13"/>
        <v>15</v>
      </c>
      <c r="Q55" s="15">
        <f t="shared" si="13"/>
        <v>13</v>
      </c>
      <c r="R55" s="15">
        <f t="shared" si="13"/>
        <v>11</v>
      </c>
      <c r="S55" s="15">
        <f t="shared" si="13"/>
        <v>12</v>
      </c>
      <c r="T55" s="15">
        <f t="shared" si="13"/>
        <v>12</v>
      </c>
      <c r="U55" s="15">
        <f t="shared" si="13"/>
        <v>13</v>
      </c>
      <c r="V55" s="15">
        <f t="shared" si="13"/>
        <v>16</v>
      </c>
      <c r="W55" s="15">
        <f t="shared" si="13"/>
        <v>10</v>
      </c>
      <c r="X55" s="15">
        <f t="shared" si="13"/>
        <v>8</v>
      </c>
      <c r="Y55" s="15">
        <f t="shared" si="13"/>
        <v>11</v>
      </c>
      <c r="Z55" s="15">
        <f t="shared" si="13"/>
        <v>14</v>
      </c>
      <c r="AA55" s="15">
        <f t="shared" si="13"/>
        <v>15</v>
      </c>
      <c r="AB55" s="15">
        <f t="shared" si="13"/>
        <v>12</v>
      </c>
      <c r="AC55" s="15">
        <f t="shared" si="13"/>
        <v>15</v>
      </c>
      <c r="AD55" s="15">
        <f t="shared" si="13"/>
        <v>11</v>
      </c>
      <c r="AE55" s="15">
        <f t="shared" si="13"/>
        <v>10</v>
      </c>
      <c r="AF55" s="15">
        <f t="shared" si="13"/>
        <v>10</v>
      </c>
      <c r="AG55" s="18">
        <f t="shared" si="0"/>
        <v>0</v>
      </c>
      <c r="AH55" s="18">
        <f t="shared" si="1"/>
        <v>0</v>
      </c>
      <c r="AI55" s="18">
        <f t="shared" si="2"/>
        <v>0</v>
      </c>
      <c r="AJ55" s="18">
        <f t="shared" si="3"/>
        <v>0</v>
      </c>
      <c r="AK55" s="18">
        <f t="shared" si="4"/>
        <v>0</v>
      </c>
      <c r="AL55" s="19">
        <f t="shared" si="5"/>
        <v>0</v>
      </c>
      <c r="AM55" s="18">
        <f t="shared" si="6"/>
        <v>0</v>
      </c>
      <c r="AN55" s="18">
        <f t="shared" si="7"/>
        <v>0</v>
      </c>
      <c r="AO55" s="14">
        <v>0</v>
      </c>
    </row>
    <row r="56" ht="13" spans="1:41">
      <c r="A56" s="1" t="s">
        <v>83</v>
      </c>
      <c r="B56" s="14">
        <f t="shared" ref="B56:AF56" si="14">SUM(B50:B53)</f>
        <v>21</v>
      </c>
      <c r="C56" s="14">
        <f t="shared" si="14"/>
        <v>21</v>
      </c>
      <c r="D56" s="14">
        <f t="shared" si="14"/>
        <v>21</v>
      </c>
      <c r="E56" s="14">
        <f t="shared" si="14"/>
        <v>21</v>
      </c>
      <c r="F56" s="14">
        <f t="shared" si="14"/>
        <v>21</v>
      </c>
      <c r="G56" s="14">
        <f t="shared" si="14"/>
        <v>21</v>
      </c>
      <c r="H56" s="14">
        <f t="shared" si="14"/>
        <v>21</v>
      </c>
      <c r="I56" s="14">
        <f t="shared" si="14"/>
        <v>21</v>
      </c>
      <c r="J56" s="14">
        <f t="shared" si="14"/>
        <v>21</v>
      </c>
      <c r="K56" s="14">
        <f t="shared" si="14"/>
        <v>21</v>
      </c>
      <c r="L56" s="14">
        <f t="shared" si="14"/>
        <v>21</v>
      </c>
      <c r="M56" s="14">
        <f t="shared" si="14"/>
        <v>21</v>
      </c>
      <c r="N56" s="14">
        <f t="shared" si="14"/>
        <v>21</v>
      </c>
      <c r="O56" s="14">
        <f t="shared" si="14"/>
        <v>21</v>
      </c>
      <c r="P56" s="14">
        <f t="shared" si="14"/>
        <v>21</v>
      </c>
      <c r="Q56" s="14">
        <f t="shared" si="14"/>
        <v>21</v>
      </c>
      <c r="R56" s="14">
        <f t="shared" si="14"/>
        <v>21</v>
      </c>
      <c r="S56" s="14">
        <f t="shared" si="14"/>
        <v>21</v>
      </c>
      <c r="T56" s="14">
        <f t="shared" si="14"/>
        <v>21</v>
      </c>
      <c r="U56" s="14">
        <f t="shared" si="14"/>
        <v>21</v>
      </c>
      <c r="V56" s="14">
        <f t="shared" si="14"/>
        <v>19</v>
      </c>
      <c r="W56" s="14">
        <f t="shared" si="14"/>
        <v>21</v>
      </c>
      <c r="X56" s="14">
        <f t="shared" si="14"/>
        <v>21</v>
      </c>
      <c r="Y56" s="14">
        <f t="shared" si="14"/>
        <v>21</v>
      </c>
      <c r="Z56" s="14">
        <f t="shared" si="14"/>
        <v>21</v>
      </c>
      <c r="AA56" s="14">
        <f t="shared" si="14"/>
        <v>21</v>
      </c>
      <c r="AB56" s="14">
        <f t="shared" si="14"/>
        <v>21</v>
      </c>
      <c r="AC56" s="14">
        <f t="shared" si="14"/>
        <v>21</v>
      </c>
      <c r="AD56" s="14">
        <f t="shared" si="14"/>
        <v>21</v>
      </c>
      <c r="AE56" s="14">
        <f t="shared" si="14"/>
        <v>21</v>
      </c>
      <c r="AF56" s="14">
        <f t="shared" si="14"/>
        <v>21</v>
      </c>
      <c r="AG56" s="18">
        <f t="shared" si="0"/>
        <v>0</v>
      </c>
      <c r="AH56" s="18">
        <f t="shared" si="1"/>
        <v>0</v>
      </c>
      <c r="AI56" s="18">
        <f t="shared" si="2"/>
        <v>0</v>
      </c>
      <c r="AJ56" s="18">
        <f t="shared" si="3"/>
        <v>0</v>
      </c>
      <c r="AK56" s="18">
        <f t="shared" si="4"/>
        <v>0</v>
      </c>
      <c r="AL56" s="19">
        <f t="shared" si="5"/>
        <v>0</v>
      </c>
      <c r="AM56" s="18">
        <f t="shared" si="6"/>
        <v>0</v>
      </c>
      <c r="AN56" s="18">
        <f t="shared" si="7"/>
        <v>0</v>
      </c>
      <c r="AO56" s="14">
        <v>0</v>
      </c>
    </row>
  </sheetData>
  <dataValidations count="1">
    <dataValidation type="list" allowBlank="1" showErrorMessage="1" sqref="B2:AF49">
      <formula1>"早,日,遅,夜,明,休,予,希望休,研修,有,誕"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マスタ</vt:lpstr>
      <vt:lpstr>要員数</vt:lpstr>
      <vt:lpstr>勤務予定_雛形シート</vt:lpstr>
      <vt:lpstr>希望</vt:lpstr>
      <vt:lpstr>月設定</vt:lpstr>
      <vt:lpstr>繰越</vt:lpstr>
      <vt:lpstr>検証チェック</vt:lpstr>
      <vt:lpstr>2025-12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AIshi</cp:lastModifiedBy>
  <dcterms:created xsi:type="dcterms:W3CDTF">2026-01-21T14:35:00Z</dcterms:created>
  <dcterms:modified xsi:type="dcterms:W3CDTF">2026-05-19T13:46:46Z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B3DD6794DFC74BB1842FF97AC63565AC</vt:lpwstr>
  </property>
  <property fmtid="{D5CDD505-2E9C-101B-9397-08002B2CF9AE}" pid="3" name="KSOProductBuildVer">
    <vt:lpwstr>1041-11.2.0.10701</vt:lpwstr>
  </property>
</Properties>
</file>